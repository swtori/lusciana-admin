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s" sheetId="1" r:id="rId5"/>
    <sheet state="visible" name="Avril" sheetId="2" r:id="rId6"/>
    <sheet state="visible" name="Mai" sheetId="3" r:id="rId7"/>
    <sheet state="visible" name="Juin" sheetId="4" r:id="rId8"/>
    <sheet state="visible" name="Juillet" sheetId="5" r:id="rId9"/>
    <sheet state="visible" name="Août" sheetId="6" r:id="rId10"/>
    <sheet state="visible" name="Septembre" sheetId="7" r:id="rId11"/>
    <sheet state="visible" name="Octobre" sheetId="8" r:id="rId12"/>
    <sheet state="visible" name="Total" sheetId="9" r:id="rId13"/>
  </sheets>
  <definedNames/>
  <calcPr/>
</workbook>
</file>

<file path=xl/sharedStrings.xml><?xml version="1.0" encoding="utf-8"?>
<sst xmlns="http://schemas.openxmlformats.org/spreadsheetml/2006/main" count="1394" uniqueCount="346">
  <si>
    <t xml:space="preserve">Liste de client : </t>
  </si>
  <si>
    <t>Liste d'associé :</t>
  </si>
  <si>
    <t>Liste de fournisseur</t>
  </si>
  <si>
    <t>Jack</t>
  </si>
  <si>
    <t>Antoine</t>
  </si>
  <si>
    <t>Serveur</t>
  </si>
  <si>
    <t>Skye</t>
  </si>
  <si>
    <t>Coraline</t>
  </si>
  <si>
    <t>JB</t>
  </si>
  <si>
    <t>Roméo</t>
  </si>
  <si>
    <t>JusteMoi</t>
  </si>
  <si>
    <t>Pastry</t>
  </si>
  <si>
    <t>Fulzer</t>
  </si>
  <si>
    <t>Vorloks</t>
  </si>
  <si>
    <t>Itoka</t>
  </si>
  <si>
    <t>Loper</t>
  </si>
  <si>
    <t>Konei</t>
  </si>
  <si>
    <t>Florian</t>
  </si>
  <si>
    <t>Pourtoutix</t>
  </si>
  <si>
    <t>Scale</t>
  </si>
  <si>
    <t>Kellogs</t>
  </si>
  <si>
    <t>Journal de Corqline</t>
  </si>
  <si>
    <t>Journal de Saatori</t>
  </si>
  <si>
    <t>D</t>
  </si>
  <si>
    <t>C</t>
  </si>
  <si>
    <t>Mois de MARS</t>
  </si>
  <si>
    <t>Client - Kellogs</t>
  </si>
  <si>
    <t>Prestation de service</t>
  </si>
  <si>
    <t>5 assets Kris Thaesler Paypal</t>
  </si>
  <si>
    <t>Banque</t>
  </si>
  <si>
    <t>Perte de change</t>
  </si>
  <si>
    <t>Total</t>
  </si>
  <si>
    <t>Acompte Client - Kellogs</t>
  </si>
  <si>
    <t>Acompte Client - JB</t>
  </si>
  <si>
    <t xml:space="preserve">Total </t>
  </si>
  <si>
    <t>Acompte pour 100 assets Kris Thaesler Paypal</t>
  </si>
  <si>
    <t>Casino steampunk Acompte</t>
  </si>
  <si>
    <t>Client - JB</t>
  </si>
  <si>
    <t>CA Total :</t>
  </si>
  <si>
    <t>Devis Casino Steampunk Alexandre Coulondre Paypal</t>
  </si>
  <si>
    <t>Acompte client - JB</t>
  </si>
  <si>
    <t>Facture pour 100 assets Kris Thaesler Paypal</t>
  </si>
  <si>
    <t>Dépense team</t>
  </si>
  <si>
    <t>Associé - Coraline</t>
  </si>
  <si>
    <t>Paiement de client Kellogs divisé par 2</t>
  </si>
  <si>
    <t>Associé - Antoine</t>
  </si>
  <si>
    <t>Paiement Acompte JB divisé par 2</t>
  </si>
  <si>
    <t>Acompte Client - Skye</t>
  </si>
  <si>
    <t>Paiement Acompte Skye divisé par 2</t>
  </si>
  <si>
    <t>Acompte PixelMon Skye</t>
  </si>
  <si>
    <t>Client - Skye</t>
  </si>
  <si>
    <t>Paiement Skye divisé par 2</t>
  </si>
  <si>
    <t>Facture pour Build PixelMon Alex Carr Paypal</t>
  </si>
  <si>
    <t>Paiement JB divisé par 2</t>
  </si>
  <si>
    <t>Acompte Client - JusteMoi</t>
  </si>
  <si>
    <t xml:space="preserve">Acompte Sombrosia </t>
  </si>
  <si>
    <t>Client - JusteMoi</t>
  </si>
  <si>
    <t>Devis Sombrosia Geoffrey Eaudouce Paypal</t>
  </si>
  <si>
    <t>Paiement Acompte Sombrosia divisé par 2</t>
  </si>
  <si>
    <t>REVENUS</t>
  </si>
  <si>
    <t>URSAF</t>
  </si>
  <si>
    <t>TEAM</t>
  </si>
  <si>
    <t>Liste de fournisseur :</t>
  </si>
  <si>
    <t>Soymemox</t>
  </si>
  <si>
    <t>Axiom</t>
  </si>
  <si>
    <t>Hichibo</t>
  </si>
  <si>
    <t>Journal de Antoine</t>
  </si>
  <si>
    <t>Mois d'Avril</t>
  </si>
  <si>
    <t>Logiciels</t>
  </si>
  <si>
    <t>TOTAL</t>
  </si>
  <si>
    <t>Fournisseur - Serveur</t>
  </si>
  <si>
    <t>Facture Hebergeur</t>
  </si>
  <si>
    <t>Journal de Coraline</t>
  </si>
  <si>
    <t>Paiement 1 mois Hebergeur</t>
  </si>
  <si>
    <t>Changement de propriétaire</t>
  </si>
  <si>
    <t>Acompte reçu</t>
  </si>
  <si>
    <t>Paiement Acompte Kyoka divisé par 2</t>
  </si>
  <si>
    <t>Fournisseur - Soymemox</t>
  </si>
  <si>
    <t>Devis Soymemox Guillrmo Armenta Paypal (Render)</t>
  </si>
  <si>
    <t>Acompte Client - Konei</t>
  </si>
  <si>
    <t xml:space="preserve">Pourcentage </t>
  </si>
  <si>
    <t>Paiement 2x Render</t>
  </si>
  <si>
    <t>Client - Konei</t>
  </si>
  <si>
    <t>Reçu</t>
  </si>
  <si>
    <t>Devis Kyoka Woze SurYoutube Paypal</t>
  </si>
  <si>
    <t>Paiement Acompte Cubelock divisé par 2</t>
  </si>
  <si>
    <t>Client - Hichibo</t>
  </si>
  <si>
    <t>Devis Hichibo Island Paypal</t>
  </si>
  <si>
    <t>Quand JusteMoi voulait qu'on lui rende son acompte</t>
  </si>
  <si>
    <t xml:space="preserve">Payement Hichibo </t>
  </si>
  <si>
    <t>Associé - Loper</t>
  </si>
  <si>
    <t>Payement Hichibo -12,5%</t>
  </si>
  <si>
    <t>Acompte Client - Itoka</t>
  </si>
  <si>
    <t>Paiement Sombrosia divisé par 2</t>
  </si>
  <si>
    <t>Client - Itoka</t>
  </si>
  <si>
    <t>Paiement 25e acompte Kyoka reçu</t>
  </si>
  <si>
    <t>Devis CubeLock Jules Fuselier Paypal</t>
  </si>
  <si>
    <t>Paiement reçu</t>
  </si>
  <si>
    <t>Associé - Pastry</t>
  </si>
  <si>
    <t>Paiement Kyoka -12,5% (Inclus Vorloks donc 65,62 et 65,63)</t>
  </si>
  <si>
    <t>1er payement CubeLock</t>
  </si>
  <si>
    <t>Paiement 25e acompte Kyoka rendu</t>
  </si>
  <si>
    <t>1er Payement de Cubelock divisé par 2</t>
  </si>
  <si>
    <t>Acompte Client - Florian</t>
  </si>
  <si>
    <t>Acompte Florian Neloria</t>
  </si>
  <si>
    <t>Payement de Cubelock divisé par 2</t>
  </si>
  <si>
    <t>Client - Florian</t>
  </si>
  <si>
    <t>Acompte Client - Scale</t>
  </si>
  <si>
    <t>Devis Neloria Florian Nicolas Montchamp Paypal</t>
  </si>
  <si>
    <t>Acompte Scale 80+10</t>
  </si>
  <si>
    <t>Client - Scale</t>
  </si>
  <si>
    <t>Devis Scale Lucas Diez Paypal</t>
  </si>
  <si>
    <t>Paiement Acompte Scale divisé par 2</t>
  </si>
  <si>
    <t>Paiement 3x Render</t>
  </si>
  <si>
    <t>Payement CubeLock (80+5)</t>
  </si>
  <si>
    <t>Acompte Client - Pourtoutix</t>
  </si>
  <si>
    <t>Acompte MarioKart</t>
  </si>
  <si>
    <t>Client - Pourtoutix</t>
  </si>
  <si>
    <t>Devis MarioKart Mathis Mazoyer Paypal</t>
  </si>
  <si>
    <t>Fournisseur - Axiom</t>
  </si>
  <si>
    <t>Facture Axiom Moulberry Paypal</t>
  </si>
  <si>
    <t>Paiement 1 mois Axiom</t>
  </si>
  <si>
    <t>Shinlass</t>
  </si>
  <si>
    <t>StaSolaire</t>
  </si>
  <si>
    <t>Maxime</t>
  </si>
  <si>
    <t>Discord</t>
  </si>
  <si>
    <t>AxDev</t>
  </si>
  <si>
    <t>FilsOurs</t>
  </si>
  <si>
    <t>o700iq</t>
  </si>
  <si>
    <t>nuqm</t>
  </si>
  <si>
    <t>Goose</t>
  </si>
  <si>
    <t>Acompte Client - FilsOurs</t>
  </si>
  <si>
    <t>Acompte FilsOurs</t>
  </si>
  <si>
    <t>Client - FilsOurs</t>
  </si>
  <si>
    <t>Devis Naruto Theo Granet Paypal</t>
  </si>
  <si>
    <t>Paiement Neloria Florian Divisé par 2 -12,5%</t>
  </si>
  <si>
    <t>Associé - Roméo</t>
  </si>
  <si>
    <t>Paiement MarioKart</t>
  </si>
  <si>
    <t>Associé - Vorloks</t>
  </si>
  <si>
    <t>Paiement MarioKart -15%</t>
  </si>
  <si>
    <t>Acompte Client - Shinlass</t>
  </si>
  <si>
    <t>Acompte Shinlass</t>
  </si>
  <si>
    <t>Client - Shinlass</t>
  </si>
  <si>
    <t>Devis MineFrame Dream days Paypal</t>
  </si>
  <si>
    <t xml:space="preserve">Paiement Scale Divisé par 2 </t>
  </si>
  <si>
    <t>Client - StaSolaire</t>
  </si>
  <si>
    <t>Devis Render StaSolaire Arnaud StaSolaire Paypal</t>
  </si>
  <si>
    <t>Paiement Render 20$ - 15%</t>
  </si>
  <si>
    <t>Associé - Goose</t>
  </si>
  <si>
    <t>Render</t>
  </si>
  <si>
    <t>Client - Maxime</t>
  </si>
  <si>
    <t>Devis WanoKuni</t>
  </si>
  <si>
    <t>Payement reçu</t>
  </si>
  <si>
    <t>Paiement</t>
  </si>
  <si>
    <t>Acompte Client - AxDev</t>
  </si>
  <si>
    <t>Acompte AxDev</t>
  </si>
  <si>
    <t>Client - AxDev</t>
  </si>
  <si>
    <t>Devis Donjon Dedou Fiv Paypal</t>
  </si>
  <si>
    <t>Acompte Client - o700iq</t>
  </si>
  <si>
    <t>Acompte o700iq</t>
  </si>
  <si>
    <t>Client - o700iq</t>
  </si>
  <si>
    <t>Devis île skyblock Léo oevho Paypal</t>
  </si>
  <si>
    <t>Fournisseur - Discord</t>
  </si>
  <si>
    <t>Facture Discord nitro Roméo</t>
  </si>
  <si>
    <t>Acompte Client - Nuqm</t>
  </si>
  <si>
    <t>Acompte Nuqm</t>
  </si>
  <si>
    <t>Client - Nuqm</t>
  </si>
  <si>
    <t>Devis Spawn 1j Nadir Lounes LCL</t>
  </si>
  <si>
    <t>Paiement Nuqm 90-10e et 80x15%</t>
  </si>
  <si>
    <t>Atsuki</t>
  </si>
  <si>
    <t>Deuxbr</t>
  </si>
  <si>
    <t>Hybrynix (EzEdit)</t>
  </si>
  <si>
    <t>DuoBoosts</t>
  </si>
  <si>
    <t>Rxverse</t>
  </si>
  <si>
    <t>Ved</t>
  </si>
  <si>
    <t>Muk</t>
  </si>
  <si>
    <t>Mois de Juin</t>
  </si>
  <si>
    <t xml:space="preserve">Paiement o700iq Divisé par 2 </t>
  </si>
  <si>
    <t>Acompte Client - Atsuki</t>
  </si>
  <si>
    <t>Acompte Atsuki Pokemon</t>
  </si>
  <si>
    <t>Client - Atsuki</t>
  </si>
  <si>
    <t>Devis Spawn + 3 villes pokémon</t>
  </si>
  <si>
    <t>Acompte  spawn Nuqm</t>
  </si>
  <si>
    <t>Devis spawn</t>
  </si>
  <si>
    <t>Acompte Client - Deuxbr</t>
  </si>
  <si>
    <t>Acompte CallOfCube spawn</t>
  </si>
  <si>
    <t>Client - Deuxbr</t>
  </si>
  <si>
    <t>Devis retouche spawn</t>
  </si>
  <si>
    <t>Associé - Rxverse</t>
  </si>
  <si>
    <t>Loyaux service</t>
  </si>
  <si>
    <t>Acompte Client - Ved</t>
  </si>
  <si>
    <t>Acompte Ved</t>
  </si>
  <si>
    <t>Client - Ved</t>
  </si>
  <si>
    <t>Devis Spawn</t>
  </si>
  <si>
    <t>Acompte reçu Kyllian Havret (paypal)</t>
  </si>
  <si>
    <t xml:space="preserve">Paiement Atsuki Divisé par 2 </t>
  </si>
  <si>
    <t>Acompte Client - Muk</t>
  </si>
  <si>
    <t>Acompte CobbleGems Pokemon Muk</t>
  </si>
  <si>
    <t>Client - Muk</t>
  </si>
  <si>
    <t>Devis spawn pokémon</t>
  </si>
  <si>
    <t>Acompte Konoha FilsOurs</t>
  </si>
  <si>
    <t>Paiement Shinlass -15%</t>
  </si>
  <si>
    <t>Acompte Shop Skye</t>
  </si>
  <si>
    <t>Devis Shop pokémon</t>
  </si>
  <si>
    <t>Fournisseur - Hybryninx</t>
  </si>
  <si>
    <t>Facture EzEdit</t>
  </si>
  <si>
    <t>Paiement fait</t>
  </si>
  <si>
    <t>Client - nuqm</t>
  </si>
  <si>
    <t>Paiement Nuqm /2</t>
  </si>
  <si>
    <t>Acompte Ferme</t>
  </si>
  <si>
    <t xml:space="preserve">Devis ferme </t>
  </si>
  <si>
    <t>Devis map tower x3</t>
  </si>
  <si>
    <t>Acompte reçu Waves Organisation (paypal)</t>
  </si>
  <si>
    <t>Fournisseur - DuoBoosts</t>
  </si>
  <si>
    <t>Facture Boost discord</t>
  </si>
  <si>
    <t xml:space="preserve">Paiement Nuqm /2 -15% </t>
  </si>
  <si>
    <t xml:space="preserve">Paiement Skye 30% </t>
  </si>
  <si>
    <t>TryIs</t>
  </si>
  <si>
    <t>Communication</t>
  </si>
  <si>
    <t>Dina</t>
  </si>
  <si>
    <t>Aleek</t>
  </si>
  <si>
    <t>Yaagats</t>
  </si>
  <si>
    <t>Mois de Juillet</t>
  </si>
  <si>
    <t>Facture Décoration discord</t>
  </si>
  <si>
    <t>Acompte Ville 2</t>
  </si>
  <si>
    <t>Devis Ville 2</t>
  </si>
  <si>
    <t xml:space="preserve">Acompte Skye </t>
  </si>
  <si>
    <t>tous les renders + tout axiom + tous les serveurs payés</t>
  </si>
  <si>
    <t>total débit</t>
  </si>
  <si>
    <t>total CA antoine</t>
  </si>
  <si>
    <t>total bénéfice antoine</t>
  </si>
  <si>
    <t>Devis shop</t>
  </si>
  <si>
    <t>Fournisseur - Render</t>
  </si>
  <si>
    <t>Facture Render wano</t>
  </si>
  <si>
    <t>Acompte Client - Dina</t>
  </si>
  <si>
    <t>Client - Dina</t>
  </si>
  <si>
    <t>Acompte Garage</t>
  </si>
  <si>
    <t>Devis Garage</t>
  </si>
  <si>
    <t xml:space="preserve">Paiement Ved Divisé par 2 </t>
  </si>
  <si>
    <t>Client - Muuk</t>
  </si>
  <si>
    <t xml:space="preserve">Paiement Muk </t>
  </si>
  <si>
    <t>Associé - Aleek</t>
  </si>
  <si>
    <t>Paiement Muk + Orga</t>
  </si>
  <si>
    <t>Associé - Yaagats</t>
  </si>
  <si>
    <t>Paiement Muk</t>
  </si>
  <si>
    <t xml:space="preserve">Paiement Skye Divisé par 2 </t>
  </si>
  <si>
    <t>Facture Render Ved</t>
  </si>
  <si>
    <t>Acompte Client - Muuk</t>
  </si>
  <si>
    <t>Acompte Ville</t>
  </si>
  <si>
    <t xml:space="preserve">Devis Ville </t>
  </si>
  <si>
    <t>Facture Render Skye</t>
  </si>
  <si>
    <t>Facture Render Corqline</t>
  </si>
  <si>
    <t>Acompte Client - TryIs</t>
  </si>
  <si>
    <t>Acompte</t>
  </si>
  <si>
    <t>Client - TryIs</t>
  </si>
  <si>
    <t>Devis Village Tuto</t>
  </si>
  <si>
    <t>Fournisseur - Communication</t>
  </si>
  <si>
    <t>Facture EndMC</t>
  </si>
  <si>
    <t>Hugoxpvp</t>
  </si>
  <si>
    <t>Ced</t>
  </si>
  <si>
    <t>Sayame</t>
  </si>
  <si>
    <t>Mois d'août</t>
  </si>
  <si>
    <t>Facture Giveaway</t>
  </si>
  <si>
    <t>Acompte Client - Hugo</t>
  </si>
  <si>
    <t>Acompte Village</t>
  </si>
  <si>
    <t>Client - Hugo</t>
  </si>
  <si>
    <t>Devis Village</t>
  </si>
  <si>
    <t>Paiement Dina /2</t>
  </si>
  <si>
    <t>Paiement Hugo - 15%</t>
  </si>
  <si>
    <t>Acompte Client - Sayame</t>
  </si>
  <si>
    <t>Acompte île</t>
  </si>
  <si>
    <t>Client - Sayame</t>
  </si>
  <si>
    <t>Devis île</t>
  </si>
  <si>
    <t>Remboursement DuoBoost</t>
  </si>
  <si>
    <t>Client - Tryis</t>
  </si>
  <si>
    <t>Associé - Ced</t>
  </si>
  <si>
    <t>Paiement Tryis</t>
  </si>
  <si>
    <t>Paiement 1 an Hebergeur</t>
  </si>
  <si>
    <t>Facture Nitro Boost</t>
  </si>
  <si>
    <t>Paiement Map Tower</t>
  </si>
  <si>
    <t>Dawn</t>
  </si>
  <si>
    <t>MagikViruz</t>
  </si>
  <si>
    <t>Hesty</t>
  </si>
  <si>
    <t>Jidnesh</t>
  </si>
  <si>
    <t>Archibald</t>
  </si>
  <si>
    <t>Alkazia</t>
  </si>
  <si>
    <t>Autre</t>
  </si>
  <si>
    <t>Mois de septembre</t>
  </si>
  <si>
    <t>Brabus Communication</t>
  </si>
  <si>
    <t>Acompte Client - Dawn</t>
  </si>
  <si>
    <t>Acompte Donjon</t>
  </si>
  <si>
    <t>Client - Dawn</t>
  </si>
  <si>
    <t>Devis Donjon</t>
  </si>
  <si>
    <t>Devis 5 spawn + 1 hub</t>
  </si>
  <si>
    <t>Fournisseur - Autre</t>
  </si>
  <si>
    <t xml:space="preserve">GoFile </t>
  </si>
  <si>
    <t>Facture Render x3</t>
  </si>
  <si>
    <t>Acompte Client - MagikViruz</t>
  </si>
  <si>
    <t>Client - MagikViruz</t>
  </si>
  <si>
    <t>Devis modification spawn</t>
  </si>
  <si>
    <t>Facture Render Porco</t>
  </si>
  <si>
    <t>Acompte Client - Hesty</t>
  </si>
  <si>
    <t>Client - Hesty</t>
  </si>
  <si>
    <t>Devis 4 map</t>
  </si>
  <si>
    <t>Associé - Jidnesh</t>
  </si>
  <si>
    <t>Paiement MagikViruz</t>
  </si>
  <si>
    <t>Paiement Donjon</t>
  </si>
  <si>
    <t>Client - Alkazia</t>
  </si>
  <si>
    <t>Devis Modification spawn</t>
  </si>
  <si>
    <t>Associé - Archibald</t>
  </si>
  <si>
    <t>Paiement Alkazia</t>
  </si>
  <si>
    <t>Mathis</t>
  </si>
  <si>
    <t>Kamdin</t>
  </si>
  <si>
    <t>DeuxBr</t>
  </si>
  <si>
    <t>Aly</t>
  </si>
  <si>
    <t>Zosco</t>
  </si>
  <si>
    <t>Shawzer</t>
  </si>
  <si>
    <t>Mois d'octobre</t>
  </si>
  <si>
    <t>Client - DeuxBr</t>
  </si>
  <si>
    <t>Paiement Map Deuxbr</t>
  </si>
  <si>
    <t>Devis Modif Sombrosia</t>
  </si>
  <si>
    <t>Devis Dev Mathis</t>
  </si>
  <si>
    <t>Associé - Mathis</t>
  </si>
  <si>
    <t>Paiement Dev Tryis</t>
  </si>
  <si>
    <t>Acompte Client - Aly</t>
  </si>
  <si>
    <t>Client - Aly</t>
  </si>
  <si>
    <t>Devis Spawn Grecque</t>
  </si>
  <si>
    <t>Devis Map Arrows</t>
  </si>
  <si>
    <t>Acompte Client - Zosco</t>
  </si>
  <si>
    <t>Client - Zosco</t>
  </si>
  <si>
    <t>Devis Map Survie</t>
  </si>
  <si>
    <t>Paiement Hesty /2 Ced</t>
  </si>
  <si>
    <t>Paiement Hesty /2 Jidnesh</t>
  </si>
  <si>
    <t>Facture Render Hesty x2</t>
  </si>
  <si>
    <t>Acompte Client - Shawzer</t>
  </si>
  <si>
    <t>Client - Shawzer</t>
  </si>
  <si>
    <t>Devis Modification map faction</t>
  </si>
  <si>
    <t>Acompte Client - Kamdin</t>
  </si>
  <si>
    <t>Client - Kamdin</t>
  </si>
  <si>
    <t>Devis Ville Cyberpunk</t>
  </si>
  <si>
    <t>Spinophore</t>
  </si>
  <si>
    <t>Dalphou</t>
  </si>
  <si>
    <t>Hqky</t>
  </si>
  <si>
    <t>Yumitsuki</t>
  </si>
  <si>
    <t xml:space="preserve">Team </t>
  </si>
  <si>
    <t>Pourcentage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</si>
</sst>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FF"/>
      <name val="Arial"/>
      <scheme val="minor"/>
    </font>
    <font>
      <b/>
      <color rgb="FFF26464"/>
      <name val="Arial"/>
      <scheme val="minor"/>
    </font>
    <font>
      <b/>
      <color rgb="FF00FF00"/>
      <name val="Arial"/>
      <scheme val="minor"/>
    </font>
    <font>
      <b/>
      <color rgb="FF9900FF"/>
      <name val="Arial"/>
      <scheme val="minor"/>
    </font>
    <font>
      <b/>
      <color rgb="FFFF86DC"/>
      <name val="Arial"/>
      <scheme val="minor"/>
    </font>
    <font>
      <b/>
      <color rgb="FF0000FF"/>
      <name val="Arial"/>
      <scheme val="minor"/>
    </font>
    <font>
      <b/>
      <color rgb="FF4A86E8"/>
      <name val="Arial"/>
      <scheme val="minor"/>
    </font>
    <font>
      <b/>
      <color rgb="FF00FFFF"/>
      <name val="Arial"/>
      <scheme val="minor"/>
    </font>
    <font>
      <b/>
      <color rgb="FFFFFF00"/>
      <name val="Arial"/>
      <scheme val="minor"/>
    </font>
    <font>
      <b/>
      <color rgb="FFFF9900"/>
      <name val="Arial"/>
      <scheme val="minor"/>
    </font>
    <font>
      <b/>
      <color rgb="FFFF0000"/>
      <name val="Arial"/>
      <scheme val="minor"/>
    </font>
    <font>
      <b/>
      <color rgb="FF980000"/>
      <name val="Arial"/>
      <scheme val="minor"/>
    </font>
    <font>
      <b/>
      <color rgb="FF999999"/>
      <name val="Arial"/>
      <scheme val="minor"/>
    </font>
    <font>
      <sz val="17.0"/>
      <color theme="1"/>
      <name val="Arial"/>
      <scheme val="minor"/>
    </font>
    <font>
      <sz val="13.0"/>
      <color theme="1"/>
      <name val="Arial"/>
      <scheme val="minor"/>
    </font>
    <font>
      <color rgb="FFB6D7A8"/>
      <name val="Arial"/>
      <scheme val="minor"/>
    </font>
    <font>
      <b/>
      <sz val="14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0000FF"/>
      <name val="Arial"/>
    </font>
    <font>
      <b/>
      <color rgb="FFFF86DC"/>
      <name val="Arial"/>
    </font>
    <font>
      <b/>
      <color rgb="FFC27BA0"/>
      <name val="Arial"/>
      <scheme val="minor"/>
    </font>
    <font>
      <b/>
      <color rgb="FFF6B26B"/>
      <name val="Arial"/>
      <scheme val="minor"/>
    </font>
    <font>
      <b/>
      <color rgb="FF6AA84F"/>
      <name val="Arial"/>
      <scheme val="minor"/>
    </font>
    <font>
      <b/>
      <color rgb="FFA4C2F4"/>
      <name val="Arial"/>
      <scheme val="minor"/>
    </font>
    <font>
      <b/>
      <color rgb="FFF1C232"/>
      <name val="Arial"/>
      <scheme val="minor"/>
    </font>
    <font>
      <b/>
      <color theme="1"/>
      <name val="Arial"/>
      <scheme val="minor"/>
    </font>
    <font>
      <b/>
      <color rgb="FFB45F06"/>
      <name val="Arial"/>
      <scheme val="minor"/>
    </font>
    <font>
      <b/>
      <color rgb="FFE06666"/>
      <name val="Arial"/>
      <scheme val="minor"/>
    </font>
    <font>
      <b/>
      <color rgb="FF0B5394"/>
      <name val="Arial"/>
      <scheme val="minor"/>
    </font>
    <font>
      <b/>
      <color rgb="FFF6B26B"/>
      <name val="Arial"/>
    </font>
    <font>
      <color rgb="FF000000"/>
      <name val="Arial"/>
    </font>
    <font>
      <b/>
      <color rgb="FF8E7CC3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26464"/>
        <bgColor rgb="FFF2646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2" numFmtId="0" xfId="0" applyFont="1"/>
    <xf borderId="0" fillId="0" fontId="9" numFmtId="0" xfId="0" applyFont="1"/>
    <xf borderId="0" fillId="0" fontId="11" numFmtId="0" xfId="0" applyFont="1"/>
    <xf borderId="0" fillId="0" fontId="1" numFmtId="164" xfId="0" applyAlignment="1" applyFont="1" applyNumberFormat="1">
      <alignment horizontal="center" readingOrder="0"/>
    </xf>
    <xf borderId="0" fillId="0" fontId="5" numFmtId="0" xfId="0" applyFont="1"/>
    <xf borderId="0" fillId="0" fontId="1" numFmtId="164" xfId="0" applyAlignment="1" applyFont="1" applyNumberFormat="1">
      <alignment readingOrder="0"/>
    </xf>
    <xf borderId="0" fillId="2" fontId="16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17" numFmtId="0" xfId="0" applyFont="1"/>
    <xf borderId="0" fillId="0" fontId="12" numFmtId="0" xfId="0" applyFont="1"/>
    <xf borderId="0" fillId="0" fontId="1" numFmtId="0" xfId="0" applyFont="1"/>
    <xf borderId="0" fillId="0" fontId="18" numFmtId="0" xfId="0" applyFont="1"/>
    <xf borderId="0" fillId="3" fontId="1" numFmtId="0" xfId="0" applyFill="1" applyFont="1"/>
    <xf borderId="0" fillId="3" fontId="19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6" numFmtId="0" xfId="0" applyAlignment="1" applyFont="1">
      <alignment readingOrder="0"/>
    </xf>
    <xf borderId="0" fillId="2" fontId="19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0" numFmtId="164" xfId="0" applyAlignment="1" applyFont="1" applyNumberFormat="1">
      <alignment horizontal="right" vertical="bottom"/>
    </xf>
    <xf borderId="0" fillId="2" fontId="20" numFmtId="0" xfId="0" applyAlignment="1" applyFont="1">
      <alignment horizontal="right" vertical="bottom"/>
    </xf>
    <xf borderId="0" fillId="2" fontId="20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20" numFmtId="164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3" fontId="20" numFmtId="0" xfId="0" applyAlignment="1" applyFont="1">
      <alignment vertical="bottom"/>
    </xf>
    <xf borderId="0" fillId="3" fontId="20" numFmtId="0" xfId="0" applyAlignment="1" applyFont="1">
      <alignment horizontal="right" vertical="bottom"/>
    </xf>
    <xf borderId="0" fillId="3" fontId="20" numFmtId="0" xfId="0" applyAlignment="1" applyFont="1">
      <alignment horizontal="right" vertical="bottom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0" numFmtId="0" xfId="0" applyAlignment="1" applyFont="1">
      <alignment horizontal="center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0" numFmtId="164" xfId="0" applyAlignment="1" applyFont="1" applyNumberFormat="1">
      <alignment horizontal="right" readingOrder="0" vertical="bottom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readingOrder="0" vertical="bottom"/>
    </xf>
    <xf borderId="0" fillId="3" fontId="20" numFmtId="0" xfId="0" applyAlignment="1" applyFont="1">
      <alignment vertical="bottom"/>
    </xf>
    <xf borderId="0" fillId="3" fontId="20" numFmtId="0" xfId="0" applyAlignment="1" applyFont="1">
      <alignment horizontal="right" readingOrder="0" vertical="bottom"/>
    </xf>
    <xf borderId="0" fillId="0" fontId="20" numFmtId="164" xfId="0" applyAlignment="1" applyFont="1" applyNumberFormat="1">
      <alignment readingOrder="0" vertical="bottom"/>
    </xf>
    <xf borderId="0" fillId="0" fontId="28" numFmtId="0" xfId="0" applyFont="1"/>
    <xf borderId="0" fillId="0" fontId="1" numFmtId="10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9" numFmtId="0" xfId="0" applyAlignment="1" applyFont="1">
      <alignment readingOrder="0"/>
    </xf>
    <xf borderId="0" fillId="3" fontId="19" numFmtId="0" xfId="0" applyAlignment="1" applyFont="1">
      <alignment readingOrder="0"/>
    </xf>
    <xf borderId="0" fillId="0" fontId="32" numFmtId="0" xfId="0" applyAlignment="1" applyFont="1">
      <alignment horizontal="right" vertical="bottom"/>
    </xf>
    <xf borderId="0" fillId="2" fontId="20" numFmtId="0" xfId="0" applyAlignment="1" applyFont="1">
      <alignment readingOrder="0" vertical="bottom"/>
    </xf>
    <xf borderId="0" fillId="0" fontId="33" numFmtId="0" xfId="0" applyAlignment="1" applyFont="1">
      <alignment horizontal="left" readingOrder="0" vertical="bottom"/>
    </xf>
    <xf borderId="0" fillId="0" fontId="20" numFmtId="0" xfId="0" applyAlignment="1" applyFont="1">
      <alignment horizontal="left" readingOrder="0" vertical="bottom"/>
    </xf>
    <xf borderId="0" fillId="3" fontId="32" numFmtId="0" xfId="0" applyAlignment="1" applyFont="1">
      <alignment horizontal="right" vertical="bottom"/>
    </xf>
    <xf borderId="0" fillId="3" fontId="20" numFmtId="0" xfId="0" applyAlignment="1" applyFont="1">
      <alignment readingOrder="0" vertical="bottom"/>
    </xf>
    <xf borderId="0" fillId="2" fontId="9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35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Font="1"/>
    <xf borderId="0" fillId="0" fontId="35" numFmtId="0" xfId="0" applyFont="1"/>
    <xf borderId="0" fillId="6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F1" s="1" t="s">
        <v>2</v>
      </c>
    </row>
    <row r="2">
      <c r="A2" s="2">
        <v>4111.0</v>
      </c>
      <c r="B2" s="1" t="s">
        <v>3</v>
      </c>
      <c r="D2" s="3">
        <v>4551.0</v>
      </c>
      <c r="E2" s="1" t="s">
        <v>4</v>
      </c>
      <c r="F2" s="4">
        <v>4016.0</v>
      </c>
      <c r="G2" s="1" t="s">
        <v>5</v>
      </c>
    </row>
    <row r="3">
      <c r="A3" s="5">
        <v>4112.0</v>
      </c>
      <c r="B3" s="1" t="s">
        <v>6</v>
      </c>
      <c r="D3" s="6">
        <v>4552.0</v>
      </c>
      <c r="E3" s="1" t="s">
        <v>7</v>
      </c>
    </row>
    <row r="4">
      <c r="A4" s="7">
        <v>4113.0</v>
      </c>
      <c r="B4" s="1" t="s">
        <v>8</v>
      </c>
      <c r="D4" s="1">
        <v>4553.0</v>
      </c>
      <c r="E4" s="1" t="s">
        <v>9</v>
      </c>
    </row>
    <row r="5">
      <c r="A5" s="8">
        <v>4114.0</v>
      </c>
      <c r="B5" s="1" t="s">
        <v>10</v>
      </c>
      <c r="D5" s="1">
        <v>4554.0</v>
      </c>
      <c r="E5" s="1" t="s">
        <v>11</v>
      </c>
    </row>
    <row r="6">
      <c r="A6" s="9">
        <v>4115.0</v>
      </c>
      <c r="B6" s="1" t="s">
        <v>12</v>
      </c>
      <c r="D6" s="1">
        <v>4555.0</v>
      </c>
      <c r="E6" s="1" t="s">
        <v>13</v>
      </c>
    </row>
    <row r="7">
      <c r="A7" s="4">
        <v>4116.0</v>
      </c>
      <c r="B7" s="1" t="s">
        <v>14</v>
      </c>
      <c r="D7" s="1">
        <v>4556.0</v>
      </c>
      <c r="E7" s="1" t="s">
        <v>15</v>
      </c>
    </row>
    <row r="8">
      <c r="A8" s="10">
        <v>4117.0</v>
      </c>
      <c r="B8" s="1" t="s">
        <v>16</v>
      </c>
    </row>
    <row r="9">
      <c r="A9" s="11">
        <v>4118.0</v>
      </c>
      <c r="B9" s="1" t="s">
        <v>17</v>
      </c>
    </row>
    <row r="10">
      <c r="A10" s="12">
        <v>4119.0</v>
      </c>
      <c r="B10" s="1" t="s">
        <v>18</v>
      </c>
    </row>
    <row r="11">
      <c r="A11" s="13">
        <v>41110.0</v>
      </c>
      <c r="B11" s="1" t="s">
        <v>19</v>
      </c>
      <c r="Q11" s="1" t="s">
        <v>7</v>
      </c>
      <c r="U11" s="1" t="s">
        <v>4</v>
      </c>
    </row>
    <row r="12">
      <c r="A12" s="14">
        <v>41111.0</v>
      </c>
      <c r="B12" s="1" t="s">
        <v>20</v>
      </c>
      <c r="Q12" s="15">
        <v>512.0</v>
      </c>
      <c r="U12" s="15">
        <v>512.0</v>
      </c>
    </row>
    <row r="13">
      <c r="C13" s="16" t="s">
        <v>21</v>
      </c>
      <c r="J13" s="16" t="s">
        <v>22</v>
      </c>
      <c r="P13" s="15" t="s">
        <v>23</v>
      </c>
      <c r="R13" s="15" t="s">
        <v>24</v>
      </c>
      <c r="T13" s="15" t="s">
        <v>23</v>
      </c>
      <c r="V13" s="15" t="s">
        <v>24</v>
      </c>
      <c r="W13" s="15"/>
    </row>
    <row r="14">
      <c r="C14" s="1" t="s">
        <v>25</v>
      </c>
      <c r="J14" s="1" t="s">
        <v>25</v>
      </c>
      <c r="P14" s="9">
        <f>E20</f>
        <v>8.22</v>
      </c>
      <c r="R14" s="17">
        <f>F41</f>
        <v>67.27</v>
      </c>
      <c r="T14" s="18">
        <f>L20</f>
        <v>10.16</v>
      </c>
      <c r="V14" s="19">
        <f>M40</f>
        <v>2.5</v>
      </c>
    </row>
    <row r="15">
      <c r="C15" s="20">
        <v>45740.0</v>
      </c>
      <c r="J15" s="20">
        <v>45740.0</v>
      </c>
      <c r="P15" s="17">
        <f>E28</f>
        <v>26.8</v>
      </c>
      <c r="R15" s="21">
        <f>F57</f>
        <v>3.11</v>
      </c>
      <c r="T15" s="19">
        <f>L32</f>
        <v>5</v>
      </c>
      <c r="V15" s="19">
        <f>M58</f>
        <v>10</v>
      </c>
    </row>
    <row r="16">
      <c r="A16" s="14">
        <v>41111.0</v>
      </c>
      <c r="C16" s="1" t="s">
        <v>26</v>
      </c>
      <c r="E16" s="1">
        <v>10.0</v>
      </c>
      <c r="H16" s="14">
        <v>4111.0</v>
      </c>
      <c r="J16" s="1" t="s">
        <v>26</v>
      </c>
      <c r="L16" s="1">
        <v>11.0</v>
      </c>
      <c r="P16" s="17">
        <f>E36</f>
        <v>107.74</v>
      </c>
      <c r="R16" s="21">
        <f>F69</f>
        <v>16.85</v>
      </c>
      <c r="T16" s="17">
        <f>L35</f>
        <v>67.27</v>
      </c>
    </row>
    <row r="17">
      <c r="B17" s="1">
        <v>706.0</v>
      </c>
      <c r="C17" s="1" t="s">
        <v>27</v>
      </c>
      <c r="F17" s="1">
        <v>10.0</v>
      </c>
      <c r="I17" s="1">
        <v>706.0</v>
      </c>
      <c r="J17" s="1" t="s">
        <v>27</v>
      </c>
      <c r="M17" s="1">
        <v>11.0</v>
      </c>
      <c r="P17" s="21">
        <f>E52</f>
        <v>6.22</v>
      </c>
      <c r="R17" s="12">
        <v>20.0</v>
      </c>
      <c r="T17" s="21">
        <f>L43</f>
        <v>3.11</v>
      </c>
    </row>
    <row r="18">
      <c r="B18" s="1" t="s">
        <v>28</v>
      </c>
      <c r="C18" s="1"/>
      <c r="F18" s="1"/>
      <c r="I18" s="1" t="s">
        <v>28</v>
      </c>
      <c r="J18" s="1"/>
      <c r="M18" s="1"/>
      <c r="P18" s="19">
        <f>E60</f>
        <v>2.5</v>
      </c>
      <c r="T18" s="21">
        <f>L47</f>
        <v>16.85</v>
      </c>
    </row>
    <row r="19">
      <c r="C19" s="22">
        <v>45740.0</v>
      </c>
      <c r="J19" s="22">
        <v>45741.0</v>
      </c>
      <c r="P19" s="21">
        <f>E64</f>
        <v>33.71</v>
      </c>
      <c r="T19" s="19">
        <f>L51</f>
        <v>20</v>
      </c>
    </row>
    <row r="20">
      <c r="A20" s="23">
        <v>512.0</v>
      </c>
      <c r="B20" s="24"/>
      <c r="C20" s="25" t="s">
        <v>29</v>
      </c>
      <c r="D20" s="24"/>
      <c r="E20" s="25">
        <v>8.22</v>
      </c>
      <c r="F20" s="26"/>
      <c r="H20" s="25">
        <v>512.0</v>
      </c>
      <c r="I20" s="24"/>
      <c r="J20" s="25" t="s">
        <v>29</v>
      </c>
      <c r="K20" s="24"/>
      <c r="L20" s="25">
        <v>10.16</v>
      </c>
      <c r="M20" s="24"/>
      <c r="P20" s="27">
        <f>E80</f>
        <v>40</v>
      </c>
      <c r="T20" s="27">
        <f>L54</f>
        <v>20</v>
      </c>
    </row>
    <row r="21">
      <c r="A21" s="1">
        <v>666.0</v>
      </c>
      <c r="C21" s="1" t="s">
        <v>30</v>
      </c>
      <c r="E21" s="1">
        <v>1.78</v>
      </c>
      <c r="H21" s="1">
        <v>666.0</v>
      </c>
      <c r="J21" s="1" t="s">
        <v>30</v>
      </c>
      <c r="L21" s="1">
        <v>0.84</v>
      </c>
      <c r="P21" s="19">
        <f>E87</f>
        <v>10</v>
      </c>
      <c r="T21" s="1" t="s">
        <v>31</v>
      </c>
      <c r="V21" s="1" t="s">
        <v>31</v>
      </c>
    </row>
    <row r="22">
      <c r="B22" s="14">
        <v>41111.0</v>
      </c>
      <c r="C22" s="1" t="s">
        <v>26</v>
      </c>
      <c r="F22" s="1">
        <v>10.0</v>
      </c>
      <c r="I22" s="14">
        <v>41111.0</v>
      </c>
      <c r="J22" s="1" t="s">
        <v>26</v>
      </c>
      <c r="M22" s="1">
        <v>11.0</v>
      </c>
      <c r="P22" s="1" t="s">
        <v>31</v>
      </c>
      <c r="R22" s="1" t="s">
        <v>31</v>
      </c>
      <c r="T22" s="28">
        <f>SUM(T14:T20)</f>
        <v>142.39</v>
      </c>
      <c r="V22" s="28">
        <f>SUM(V14:V15)</f>
        <v>12.5</v>
      </c>
    </row>
    <row r="23">
      <c r="C23" s="20">
        <v>45741.0</v>
      </c>
      <c r="J23" s="22">
        <v>45742.0</v>
      </c>
      <c r="P23" s="28">
        <f>SUM(P14:P21)</f>
        <v>235.19</v>
      </c>
      <c r="R23" s="28">
        <f>SUM(R14:R17)</f>
        <v>107.23</v>
      </c>
    </row>
    <row r="24">
      <c r="A24" s="14">
        <v>419111.0</v>
      </c>
      <c r="C24" s="15" t="s">
        <v>32</v>
      </c>
      <c r="E24" s="1">
        <v>30.0</v>
      </c>
      <c r="H24" s="7">
        <v>41913.0</v>
      </c>
      <c r="J24" s="1" t="s">
        <v>33</v>
      </c>
      <c r="L24" s="1">
        <v>5.0</v>
      </c>
    </row>
    <row r="25">
      <c r="B25" s="1">
        <v>706.0</v>
      </c>
      <c r="C25" s="15" t="s">
        <v>27</v>
      </c>
      <c r="F25" s="1">
        <v>30.0</v>
      </c>
      <c r="I25" s="1">
        <v>706.0</v>
      </c>
      <c r="J25" s="1" t="s">
        <v>27</v>
      </c>
      <c r="M25" s="1">
        <v>5.0</v>
      </c>
      <c r="Q25" s="1" t="s">
        <v>34</v>
      </c>
      <c r="U25" s="1" t="s">
        <v>31</v>
      </c>
    </row>
    <row r="26">
      <c r="B26" s="1" t="s">
        <v>35</v>
      </c>
      <c r="C26" s="15"/>
      <c r="F26" s="1"/>
      <c r="I26" s="1" t="s">
        <v>36</v>
      </c>
      <c r="Q26" s="28">
        <f>P23-R23</f>
        <v>127.96</v>
      </c>
      <c r="U26" s="29">
        <f>T22-V22</f>
        <v>129.89</v>
      </c>
    </row>
    <row r="27">
      <c r="C27" s="20">
        <v>45741.0</v>
      </c>
      <c r="J27" s="22">
        <v>45742.0</v>
      </c>
    </row>
    <row r="28">
      <c r="A28" s="23">
        <v>512.0</v>
      </c>
      <c r="B28" s="24"/>
      <c r="C28" s="25" t="s">
        <v>29</v>
      </c>
      <c r="D28" s="24"/>
      <c r="E28" s="25">
        <v>26.8</v>
      </c>
      <c r="F28" s="24"/>
      <c r="H28" s="7">
        <v>4113.0</v>
      </c>
      <c r="J28" s="1" t="s">
        <v>37</v>
      </c>
      <c r="L28" s="1">
        <v>25.0</v>
      </c>
    </row>
    <row r="29">
      <c r="A29" s="1">
        <v>666.0</v>
      </c>
      <c r="C29" s="1" t="s">
        <v>30</v>
      </c>
      <c r="E29" s="1">
        <f>F30-E28</f>
        <v>3.2</v>
      </c>
      <c r="I29" s="1">
        <v>706.0</v>
      </c>
      <c r="J29" s="1" t="s">
        <v>27</v>
      </c>
      <c r="M29" s="1">
        <v>25.0</v>
      </c>
      <c r="R29" s="1" t="s">
        <v>38</v>
      </c>
      <c r="S29" s="28">
        <f>Q26+U26</f>
        <v>257.85</v>
      </c>
    </row>
    <row r="30">
      <c r="B30" s="14">
        <v>419111.0</v>
      </c>
      <c r="C30" s="1" t="s">
        <v>32</v>
      </c>
      <c r="F30" s="1">
        <v>30.0</v>
      </c>
      <c r="I30" s="1" t="s">
        <v>39</v>
      </c>
    </row>
    <row r="31">
      <c r="C31" s="22">
        <v>45741.0</v>
      </c>
      <c r="J31" s="22">
        <v>45742.0</v>
      </c>
    </row>
    <row r="32">
      <c r="A32" s="14">
        <v>41111.0</v>
      </c>
      <c r="C32" s="1" t="s">
        <v>26</v>
      </c>
      <c r="E32" s="1">
        <v>150.0</v>
      </c>
      <c r="H32" s="25">
        <v>512.0</v>
      </c>
      <c r="I32" s="24"/>
      <c r="J32" s="25" t="s">
        <v>29</v>
      </c>
      <c r="K32" s="24"/>
      <c r="L32" s="25">
        <v>5.0</v>
      </c>
      <c r="M32" s="24"/>
    </row>
    <row r="33">
      <c r="B33" s="1">
        <v>706.0</v>
      </c>
      <c r="C33" s="1" t="s">
        <v>27</v>
      </c>
      <c r="F33" s="1">
        <v>150.0</v>
      </c>
      <c r="I33" s="7">
        <v>41913.0</v>
      </c>
      <c r="J33" s="1" t="s">
        <v>40</v>
      </c>
      <c r="M33" s="1">
        <v>5.0</v>
      </c>
    </row>
    <row r="34">
      <c r="B34" s="1" t="s">
        <v>41</v>
      </c>
      <c r="C34" s="1"/>
      <c r="F34" s="1"/>
      <c r="J34" s="22">
        <v>45743.0</v>
      </c>
    </row>
    <row r="35">
      <c r="C35" s="22">
        <v>45743.0</v>
      </c>
      <c r="H35" s="25">
        <v>512.0</v>
      </c>
      <c r="I35" s="24"/>
      <c r="J35" s="25" t="s">
        <v>29</v>
      </c>
      <c r="K35" s="24"/>
      <c r="L35" s="25">
        <v>67.27</v>
      </c>
      <c r="M35" s="24"/>
      <c r="P35" s="1" t="s">
        <v>42</v>
      </c>
    </row>
    <row r="36">
      <c r="A36" s="23">
        <v>512.0</v>
      </c>
      <c r="B36" s="24"/>
      <c r="C36" s="25" t="s">
        <v>29</v>
      </c>
      <c r="D36" s="24"/>
      <c r="E36" s="25">
        <v>107.74</v>
      </c>
      <c r="F36" s="24"/>
      <c r="I36" s="6">
        <v>4552.0</v>
      </c>
      <c r="J36" s="1" t="s">
        <v>43</v>
      </c>
      <c r="M36" s="1">
        <v>67.27</v>
      </c>
    </row>
    <row r="37">
      <c r="A37" s="1">
        <v>666.0</v>
      </c>
      <c r="C37" s="1" t="s">
        <v>30</v>
      </c>
      <c r="E37" s="28">
        <f>F38-E36</f>
        <v>12.26</v>
      </c>
      <c r="I37" s="1" t="s">
        <v>44</v>
      </c>
      <c r="J37" s="1"/>
      <c r="M37" s="1"/>
    </row>
    <row r="38">
      <c r="B38" s="14">
        <v>41111.0</v>
      </c>
      <c r="C38" s="1" t="s">
        <v>26</v>
      </c>
      <c r="F38" s="1">
        <v>120.0</v>
      </c>
      <c r="J38" s="22">
        <v>45743.0</v>
      </c>
    </row>
    <row r="39">
      <c r="C39" s="22">
        <v>45743.0</v>
      </c>
      <c r="H39" s="6">
        <v>4552.0</v>
      </c>
      <c r="J39" s="1" t="s">
        <v>43</v>
      </c>
      <c r="L39" s="1">
        <v>2.5</v>
      </c>
    </row>
    <row r="40">
      <c r="A40" s="3">
        <v>4551.0</v>
      </c>
      <c r="C40" s="1" t="s">
        <v>45</v>
      </c>
      <c r="E40" s="1">
        <v>67.27</v>
      </c>
      <c r="H40" s="30"/>
      <c r="I40" s="31">
        <v>512.0</v>
      </c>
      <c r="J40" s="32" t="s">
        <v>29</v>
      </c>
      <c r="K40" s="30"/>
      <c r="L40" s="30"/>
      <c r="M40" s="32">
        <v>2.5</v>
      </c>
    </row>
    <row r="41">
      <c r="A41" s="30"/>
      <c r="B41" s="33">
        <v>512.0</v>
      </c>
      <c r="C41" s="32" t="s">
        <v>29</v>
      </c>
      <c r="D41" s="30"/>
      <c r="E41" s="30"/>
      <c r="F41" s="32">
        <v>67.27</v>
      </c>
      <c r="I41" s="1" t="s">
        <v>46</v>
      </c>
      <c r="J41" s="22"/>
    </row>
    <row r="42">
      <c r="B42" s="1" t="s">
        <v>44</v>
      </c>
      <c r="J42" s="22">
        <v>45744.0</v>
      </c>
    </row>
    <row r="43">
      <c r="C43" s="22">
        <v>45743.0</v>
      </c>
      <c r="H43" s="34">
        <v>512.0</v>
      </c>
      <c r="I43" s="24"/>
      <c r="J43" s="25" t="s">
        <v>29</v>
      </c>
      <c r="K43" s="24"/>
      <c r="L43" s="25">
        <v>3.11</v>
      </c>
      <c r="M43" s="24"/>
    </row>
    <row r="44">
      <c r="A44" s="5">
        <v>41912.0</v>
      </c>
      <c r="C44" s="1" t="s">
        <v>47</v>
      </c>
      <c r="E44" s="1">
        <v>7.0</v>
      </c>
      <c r="I44" s="6">
        <v>4552.0</v>
      </c>
      <c r="J44" s="1" t="s">
        <v>43</v>
      </c>
      <c r="M44" s="1">
        <v>3.11</v>
      </c>
    </row>
    <row r="45">
      <c r="B45" s="1">
        <v>706.0</v>
      </c>
      <c r="C45" s="1" t="s">
        <v>27</v>
      </c>
      <c r="F45" s="1">
        <v>7.0</v>
      </c>
      <c r="I45" s="1" t="s">
        <v>48</v>
      </c>
      <c r="J45" s="22"/>
    </row>
    <row r="46">
      <c r="B46" s="1" t="s">
        <v>49</v>
      </c>
      <c r="C46" s="22"/>
      <c r="J46" s="22">
        <v>45744.0</v>
      </c>
    </row>
    <row r="47">
      <c r="C47" s="22">
        <v>45743.0</v>
      </c>
      <c r="H47" s="25">
        <v>512.0</v>
      </c>
      <c r="I47" s="24"/>
      <c r="J47" s="25" t="s">
        <v>29</v>
      </c>
      <c r="K47" s="24"/>
      <c r="L47" s="25">
        <v>16.85</v>
      </c>
      <c r="M47" s="24"/>
    </row>
    <row r="48">
      <c r="A48" s="5">
        <v>4112.0</v>
      </c>
      <c r="C48" s="1" t="s">
        <v>50</v>
      </c>
      <c r="E48" s="1">
        <v>45.0</v>
      </c>
      <c r="I48" s="6">
        <v>4552.0</v>
      </c>
      <c r="J48" s="1" t="s">
        <v>43</v>
      </c>
      <c r="M48" s="1">
        <v>16.85</v>
      </c>
    </row>
    <row r="49">
      <c r="B49" s="1">
        <v>706.0</v>
      </c>
      <c r="C49" s="1" t="s">
        <v>27</v>
      </c>
      <c r="F49" s="1">
        <v>45.0</v>
      </c>
      <c r="I49" s="1" t="s">
        <v>51</v>
      </c>
      <c r="J49" s="22"/>
    </row>
    <row r="50">
      <c r="B50" s="1" t="s">
        <v>52</v>
      </c>
      <c r="C50" s="1"/>
      <c r="F50" s="1"/>
      <c r="J50" s="22">
        <v>45744.0</v>
      </c>
    </row>
    <row r="51">
      <c r="C51" s="22">
        <v>45743.0</v>
      </c>
      <c r="H51" s="25">
        <v>512.0</v>
      </c>
      <c r="I51" s="24"/>
      <c r="J51" s="25" t="s">
        <v>29</v>
      </c>
      <c r="K51" s="24"/>
      <c r="L51" s="25">
        <v>20.0</v>
      </c>
      <c r="M51" s="24"/>
    </row>
    <row r="52">
      <c r="A52" s="23">
        <v>512.0</v>
      </c>
      <c r="B52" s="24"/>
      <c r="C52" s="25" t="s">
        <v>29</v>
      </c>
      <c r="D52" s="24"/>
      <c r="E52" s="25">
        <v>6.22</v>
      </c>
      <c r="F52" s="24"/>
      <c r="I52" s="6">
        <v>4552.0</v>
      </c>
      <c r="J52" s="1" t="s">
        <v>43</v>
      </c>
      <c r="M52" s="1">
        <v>20.0</v>
      </c>
    </row>
    <row r="53">
      <c r="A53" s="1">
        <v>666.0</v>
      </c>
      <c r="C53" s="1" t="s">
        <v>30</v>
      </c>
      <c r="E53" s="28">
        <f>F54-E52</f>
        <v>0.78</v>
      </c>
      <c r="H53" s="35"/>
      <c r="I53" s="36"/>
      <c r="J53" s="37">
        <v>45747.0</v>
      </c>
      <c r="K53" s="36"/>
      <c r="L53" s="35"/>
      <c r="M53" s="36"/>
    </row>
    <row r="54">
      <c r="B54" s="5">
        <v>41912.0</v>
      </c>
      <c r="C54" s="1" t="s">
        <v>47</v>
      </c>
      <c r="F54" s="1">
        <v>7.0</v>
      </c>
      <c r="H54" s="38">
        <v>512.0</v>
      </c>
      <c r="I54" s="39"/>
      <c r="J54" s="39" t="s">
        <v>29</v>
      </c>
      <c r="K54" s="40"/>
      <c r="L54" s="38">
        <v>20.0</v>
      </c>
      <c r="M54" s="39"/>
    </row>
    <row r="55">
      <c r="C55" s="22">
        <v>45743.0</v>
      </c>
      <c r="H55" s="36"/>
      <c r="I55" s="41">
        <v>4113.0</v>
      </c>
      <c r="J55" s="42" t="s">
        <v>37</v>
      </c>
      <c r="K55" s="36"/>
      <c r="L55" s="36"/>
      <c r="M55" s="43">
        <v>20.0</v>
      </c>
    </row>
    <row r="56">
      <c r="A56" s="3">
        <v>4551.0</v>
      </c>
      <c r="C56" s="1" t="s">
        <v>45</v>
      </c>
      <c r="E56" s="1">
        <v>3.11</v>
      </c>
      <c r="H56" s="35"/>
      <c r="I56" s="36"/>
      <c r="J56" s="37">
        <v>45747.0</v>
      </c>
      <c r="K56" s="36"/>
      <c r="L56" s="35"/>
      <c r="M56" s="36"/>
    </row>
    <row r="57">
      <c r="A57" s="30"/>
      <c r="B57" s="33">
        <v>512.0</v>
      </c>
      <c r="C57" s="32" t="s">
        <v>29</v>
      </c>
      <c r="D57" s="30"/>
      <c r="E57" s="30"/>
      <c r="F57" s="32">
        <v>3.11</v>
      </c>
      <c r="H57" s="44">
        <v>4552.0</v>
      </c>
      <c r="I57" s="35"/>
      <c r="J57" s="35" t="s">
        <v>43</v>
      </c>
      <c r="K57" s="36"/>
      <c r="L57" s="43">
        <v>10.0</v>
      </c>
      <c r="M57" s="35"/>
    </row>
    <row r="58">
      <c r="B58" s="1" t="s">
        <v>48</v>
      </c>
      <c r="H58" s="45"/>
      <c r="I58" s="46">
        <v>512.0</v>
      </c>
      <c r="J58" s="45" t="s">
        <v>29</v>
      </c>
      <c r="K58" s="45"/>
      <c r="L58" s="45"/>
      <c r="M58" s="47">
        <v>10.0</v>
      </c>
    </row>
    <row r="59">
      <c r="C59" s="22">
        <v>45743.0</v>
      </c>
      <c r="H59" s="36"/>
      <c r="I59" s="36" t="s">
        <v>53</v>
      </c>
      <c r="J59" s="36"/>
      <c r="K59" s="36"/>
      <c r="L59" s="36"/>
      <c r="M59" s="36"/>
    </row>
    <row r="60">
      <c r="A60" s="23">
        <v>512.0</v>
      </c>
      <c r="B60" s="24"/>
      <c r="C60" s="25" t="s">
        <v>29</v>
      </c>
      <c r="D60" s="24"/>
      <c r="E60" s="25">
        <v>2.5</v>
      </c>
      <c r="F60" s="24"/>
      <c r="L60" s="28">
        <f>SUM(L15:L57)</f>
        <v>196.73</v>
      </c>
      <c r="M60" s="28">
        <f>SUM(M16:M58)</f>
        <v>196.73</v>
      </c>
    </row>
    <row r="61">
      <c r="B61" s="3">
        <v>4551.0</v>
      </c>
      <c r="C61" s="1" t="s">
        <v>45</v>
      </c>
      <c r="F61" s="1">
        <v>2.5</v>
      </c>
    </row>
    <row r="62">
      <c r="B62" s="1" t="s">
        <v>46</v>
      </c>
    </row>
    <row r="63">
      <c r="C63" s="22">
        <v>45744.0</v>
      </c>
    </row>
    <row r="64">
      <c r="A64" s="23">
        <v>512.0</v>
      </c>
      <c r="B64" s="24"/>
      <c r="C64" s="25" t="s">
        <v>29</v>
      </c>
      <c r="D64" s="24"/>
      <c r="E64" s="25">
        <v>33.71</v>
      </c>
      <c r="F64" s="24"/>
    </row>
    <row r="65">
      <c r="A65" s="1">
        <v>666.0</v>
      </c>
      <c r="C65" s="1" t="s">
        <v>30</v>
      </c>
      <c r="E65" s="28">
        <f>F66-E64</f>
        <v>6.29</v>
      </c>
    </row>
    <row r="66">
      <c r="B66" s="5">
        <v>4112.0</v>
      </c>
      <c r="C66" s="1" t="s">
        <v>50</v>
      </c>
      <c r="F66" s="1">
        <v>40.0</v>
      </c>
    </row>
    <row r="67">
      <c r="C67" s="22">
        <v>45744.0</v>
      </c>
    </row>
    <row r="68">
      <c r="A68" s="3">
        <v>4551.0</v>
      </c>
      <c r="C68" s="1" t="s">
        <v>45</v>
      </c>
      <c r="E68" s="1">
        <v>16.85</v>
      </c>
    </row>
    <row r="69">
      <c r="A69" s="30"/>
      <c r="B69" s="33">
        <v>512.0</v>
      </c>
      <c r="C69" s="32" t="s">
        <v>29</v>
      </c>
      <c r="D69" s="30"/>
      <c r="E69" s="30"/>
      <c r="F69" s="32">
        <v>16.85</v>
      </c>
    </row>
    <row r="70">
      <c r="B70" s="1" t="s">
        <v>51</v>
      </c>
    </row>
    <row r="71">
      <c r="C71" s="22">
        <v>45744.0</v>
      </c>
    </row>
    <row r="72">
      <c r="A72" s="8">
        <v>41914.0</v>
      </c>
      <c r="C72" s="1" t="s">
        <v>54</v>
      </c>
      <c r="E72" s="1">
        <v>40.0</v>
      </c>
    </row>
    <row r="73">
      <c r="B73" s="1">
        <v>706.0</v>
      </c>
      <c r="C73" s="1" t="s">
        <v>27</v>
      </c>
      <c r="F73" s="1">
        <v>40.0</v>
      </c>
    </row>
    <row r="74">
      <c r="B74" s="1" t="s">
        <v>55</v>
      </c>
    </row>
    <row r="75">
      <c r="C75" s="22">
        <v>45744.0</v>
      </c>
    </row>
    <row r="76">
      <c r="A76" s="8">
        <v>4114.0</v>
      </c>
      <c r="C76" s="1" t="s">
        <v>56</v>
      </c>
      <c r="E76" s="1">
        <v>240.0</v>
      </c>
    </row>
    <row r="77">
      <c r="B77" s="1">
        <v>706.0</v>
      </c>
      <c r="C77" s="1" t="s">
        <v>27</v>
      </c>
      <c r="F77" s="1">
        <v>240.0</v>
      </c>
    </row>
    <row r="78">
      <c r="B78" s="1" t="s">
        <v>57</v>
      </c>
    </row>
    <row r="79">
      <c r="C79" s="22">
        <v>45744.0</v>
      </c>
    </row>
    <row r="80">
      <c r="A80" s="23">
        <v>512.0</v>
      </c>
      <c r="B80" s="24"/>
      <c r="C80" s="25" t="s">
        <v>29</v>
      </c>
      <c r="D80" s="24"/>
      <c r="E80" s="25">
        <v>40.0</v>
      </c>
      <c r="F80" s="24"/>
    </row>
    <row r="81">
      <c r="B81" s="8">
        <v>41914.0</v>
      </c>
      <c r="C81" s="1" t="s">
        <v>54</v>
      </c>
      <c r="F81" s="1">
        <v>40.0</v>
      </c>
    </row>
    <row r="82">
      <c r="C82" s="22">
        <v>45744.0</v>
      </c>
    </row>
    <row r="83">
      <c r="A83" s="3">
        <v>4551.0</v>
      </c>
      <c r="C83" s="1" t="s">
        <v>45</v>
      </c>
      <c r="E83" s="1">
        <v>20.0</v>
      </c>
    </row>
    <row r="84">
      <c r="A84" s="30"/>
      <c r="B84" s="33">
        <v>512.0</v>
      </c>
      <c r="C84" s="32" t="s">
        <v>29</v>
      </c>
      <c r="D84" s="30"/>
      <c r="E84" s="30"/>
      <c r="F84" s="32">
        <v>20.0</v>
      </c>
    </row>
    <row r="85">
      <c r="B85" s="1" t="s">
        <v>58</v>
      </c>
    </row>
    <row r="86">
      <c r="C86" s="22">
        <v>45747.0</v>
      </c>
    </row>
    <row r="87">
      <c r="A87" s="23">
        <v>512.0</v>
      </c>
      <c r="B87" s="24"/>
      <c r="C87" s="25" t="s">
        <v>29</v>
      </c>
      <c r="D87" s="24"/>
      <c r="E87" s="25">
        <v>10.0</v>
      </c>
      <c r="F87" s="24"/>
    </row>
    <row r="88">
      <c r="B88" s="3">
        <v>4551.0</v>
      </c>
      <c r="C88" s="1" t="s">
        <v>45</v>
      </c>
      <c r="F88" s="1">
        <v>10.0</v>
      </c>
    </row>
    <row r="89">
      <c r="B89" s="1" t="s">
        <v>53</v>
      </c>
    </row>
    <row r="91">
      <c r="E91" s="28">
        <f>SUM(E14:E89)</f>
        <v>888.73</v>
      </c>
      <c r="F91" s="28">
        <f>SUM(F16:F89)</f>
        <v>888.73</v>
      </c>
    </row>
    <row r="135">
      <c r="C135" s="1" t="s">
        <v>59</v>
      </c>
    </row>
    <row r="136">
      <c r="A136" s="1" t="s">
        <v>60</v>
      </c>
      <c r="B136" s="1" t="s">
        <v>61</v>
      </c>
    </row>
    <row r="137">
      <c r="A137" s="1">
        <v>0.22</v>
      </c>
      <c r="B137" s="1">
        <v>0.15</v>
      </c>
      <c r="C137" s="1">
        <v>1000.0</v>
      </c>
      <c r="D137" s="1">
        <v>1500.0</v>
      </c>
      <c r="E137" s="1">
        <v>2000.0</v>
      </c>
      <c r="F137" s="1">
        <v>2500.0</v>
      </c>
      <c r="G137" s="1">
        <v>3000.0</v>
      </c>
      <c r="H137" s="1">
        <v>3500.0</v>
      </c>
      <c r="I137" s="1">
        <v>4000.0</v>
      </c>
      <c r="J137" s="1">
        <v>4500.0</v>
      </c>
      <c r="K137" s="1">
        <v>5000.0</v>
      </c>
      <c r="L137" s="1">
        <v>5500.0</v>
      </c>
      <c r="M137" s="1">
        <v>6000.0</v>
      </c>
      <c r="N137" s="1">
        <v>6500.0</v>
      </c>
    </row>
    <row r="138">
      <c r="C138" s="28">
        <f t="shared" ref="C138:N138" si="1">C137*$B$137</f>
        <v>150</v>
      </c>
      <c r="D138" s="28">
        <f t="shared" si="1"/>
        <v>225</v>
      </c>
      <c r="E138" s="28">
        <f t="shared" si="1"/>
        <v>300</v>
      </c>
      <c r="F138" s="28">
        <f t="shared" si="1"/>
        <v>375</v>
      </c>
      <c r="G138" s="28">
        <f t="shared" si="1"/>
        <v>450</v>
      </c>
      <c r="H138" s="28">
        <f t="shared" si="1"/>
        <v>525</v>
      </c>
      <c r="I138" s="28">
        <f t="shared" si="1"/>
        <v>600</v>
      </c>
      <c r="J138" s="28">
        <f t="shared" si="1"/>
        <v>675</v>
      </c>
      <c r="K138" s="28">
        <f t="shared" si="1"/>
        <v>750</v>
      </c>
      <c r="L138" s="28">
        <f t="shared" si="1"/>
        <v>825</v>
      </c>
      <c r="M138" s="28">
        <f t="shared" si="1"/>
        <v>900</v>
      </c>
      <c r="N138" s="28">
        <f t="shared" si="1"/>
        <v>975</v>
      </c>
    </row>
    <row r="140">
      <c r="C140" s="1">
        <v>1.0</v>
      </c>
      <c r="D140" s="1">
        <v>10.0</v>
      </c>
      <c r="E140" s="1">
        <v>19.0</v>
      </c>
      <c r="F140" s="1">
        <v>28.0</v>
      </c>
      <c r="G140" s="1">
        <v>37.0</v>
      </c>
      <c r="H140" s="1">
        <v>46.0</v>
      </c>
      <c r="I140" s="1">
        <v>55.0</v>
      </c>
      <c r="J140" s="1">
        <v>64.0</v>
      </c>
      <c r="K140" s="1">
        <v>73.0</v>
      </c>
      <c r="L140" s="1">
        <v>82.0</v>
      </c>
      <c r="M140" s="1">
        <v>91.0</v>
      </c>
      <c r="N140" s="1">
        <v>100.0</v>
      </c>
    </row>
    <row r="141">
      <c r="C141" s="28">
        <f>C137/$C$140</f>
        <v>1000</v>
      </c>
      <c r="D141" s="28">
        <f t="shared" ref="D141:N141" si="2">C137/$D140</f>
        <v>100</v>
      </c>
      <c r="E141" s="28">
        <f t="shared" si="2"/>
        <v>150</v>
      </c>
      <c r="F141" s="28">
        <f t="shared" si="2"/>
        <v>200</v>
      </c>
      <c r="G141" s="28">
        <f t="shared" si="2"/>
        <v>250</v>
      </c>
      <c r="H141" s="28">
        <f t="shared" si="2"/>
        <v>300</v>
      </c>
      <c r="I141" s="28">
        <f t="shared" si="2"/>
        <v>350</v>
      </c>
      <c r="J141" s="28">
        <f t="shared" si="2"/>
        <v>400</v>
      </c>
      <c r="K141" s="28">
        <f t="shared" si="2"/>
        <v>450</v>
      </c>
      <c r="L141" s="28">
        <f t="shared" si="2"/>
        <v>500</v>
      </c>
      <c r="M141" s="28">
        <f t="shared" si="2"/>
        <v>550</v>
      </c>
      <c r="N141" s="28">
        <f t="shared" si="2"/>
        <v>600</v>
      </c>
    </row>
    <row r="142">
      <c r="C142" s="28">
        <f>D137/$C$140</f>
        <v>1500</v>
      </c>
      <c r="D142" s="28">
        <f t="shared" ref="D142:N142" si="3">C138/D141</f>
        <v>1.5</v>
      </c>
      <c r="E142" s="28">
        <f t="shared" si="3"/>
        <v>1.5</v>
      </c>
      <c r="F142" s="28">
        <f t="shared" si="3"/>
        <v>1.5</v>
      </c>
      <c r="G142" s="28">
        <f t="shared" si="3"/>
        <v>1.5</v>
      </c>
      <c r="H142" s="28">
        <f t="shared" si="3"/>
        <v>1.5</v>
      </c>
      <c r="I142" s="28">
        <f t="shared" si="3"/>
        <v>1.5</v>
      </c>
      <c r="J142" s="28">
        <f t="shared" si="3"/>
        <v>1.5</v>
      </c>
      <c r="K142" s="28">
        <f t="shared" si="3"/>
        <v>1.5</v>
      </c>
      <c r="L142" s="28">
        <f t="shared" si="3"/>
        <v>1.5</v>
      </c>
      <c r="M142" s="28">
        <f t="shared" si="3"/>
        <v>1.5</v>
      </c>
      <c r="N142" s="28">
        <f t="shared" si="3"/>
        <v>1.5</v>
      </c>
    </row>
    <row r="143">
      <c r="C143" s="28">
        <f>E137/$C$140</f>
        <v>2000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F1" s="1" t="s">
        <v>62</v>
      </c>
    </row>
    <row r="2">
      <c r="A2" s="2">
        <v>4111.0</v>
      </c>
      <c r="B2" s="1" t="s">
        <v>3</v>
      </c>
      <c r="D2" s="3">
        <v>4551.0</v>
      </c>
      <c r="E2" s="1" t="s">
        <v>4</v>
      </c>
      <c r="F2" s="48">
        <v>4011.0</v>
      </c>
      <c r="G2" s="1" t="s">
        <v>63</v>
      </c>
    </row>
    <row r="3">
      <c r="A3" s="5">
        <v>4112.0</v>
      </c>
      <c r="B3" s="1" t="s">
        <v>6</v>
      </c>
      <c r="D3" s="6">
        <v>4552.0</v>
      </c>
      <c r="E3" s="1" t="s">
        <v>7</v>
      </c>
      <c r="F3" s="49">
        <v>4012.0</v>
      </c>
      <c r="G3" s="1" t="s">
        <v>64</v>
      </c>
    </row>
    <row r="4">
      <c r="A4" s="7">
        <v>4113.0</v>
      </c>
      <c r="B4" s="1" t="s">
        <v>8</v>
      </c>
      <c r="D4" s="1">
        <v>4553.0</v>
      </c>
      <c r="E4" s="1" t="s">
        <v>9</v>
      </c>
      <c r="F4" s="4">
        <v>4016.0</v>
      </c>
      <c r="G4" s="1" t="s">
        <v>5</v>
      </c>
    </row>
    <row r="5">
      <c r="A5" s="8">
        <v>4114.0</v>
      </c>
      <c r="B5" s="1" t="s">
        <v>10</v>
      </c>
      <c r="D5" s="50">
        <v>4554.0</v>
      </c>
      <c r="E5" s="1" t="s">
        <v>11</v>
      </c>
      <c r="R5" s="1" t="s">
        <v>7</v>
      </c>
      <c r="U5" s="1" t="s">
        <v>4</v>
      </c>
      <c r="X5" s="1" t="s">
        <v>11</v>
      </c>
      <c r="Z5" s="1" t="s">
        <v>15</v>
      </c>
      <c r="AA5" s="1"/>
    </row>
    <row r="6">
      <c r="A6" s="9">
        <v>4115.0</v>
      </c>
      <c r="B6" s="1" t="s">
        <v>12</v>
      </c>
      <c r="D6" s="1">
        <v>4555.0</v>
      </c>
      <c r="E6" s="1" t="s">
        <v>13</v>
      </c>
      <c r="R6" s="15">
        <v>512.0</v>
      </c>
      <c r="U6" s="15">
        <v>512.0</v>
      </c>
      <c r="X6" s="15">
        <v>512.0</v>
      </c>
      <c r="Z6" s="51">
        <v>512.0</v>
      </c>
      <c r="AA6" s="36"/>
    </row>
    <row r="7">
      <c r="A7" s="4">
        <v>4116.0</v>
      </c>
      <c r="B7" s="1" t="s">
        <v>14</v>
      </c>
      <c r="D7" s="52">
        <v>4556.0</v>
      </c>
      <c r="E7" s="1" t="s">
        <v>15</v>
      </c>
      <c r="Q7" s="15" t="s">
        <v>23</v>
      </c>
      <c r="S7" s="15" t="s">
        <v>24</v>
      </c>
      <c r="T7" s="15" t="s">
        <v>23</v>
      </c>
      <c r="V7" s="15" t="s">
        <v>24</v>
      </c>
      <c r="W7" s="15" t="s">
        <v>23</v>
      </c>
      <c r="Y7" s="15" t="s">
        <v>23</v>
      </c>
    </row>
    <row r="8">
      <c r="A8" s="53">
        <v>4117.0</v>
      </c>
      <c r="B8" s="1" t="s">
        <v>16</v>
      </c>
      <c r="Q8" s="28">
        <f>F29</f>
        <v>20</v>
      </c>
      <c r="S8" s="28">
        <f>G34</f>
        <v>10</v>
      </c>
      <c r="T8" s="28">
        <f>N25</f>
        <v>10</v>
      </c>
      <c r="V8" s="28">
        <f>O38</f>
        <v>4.42</v>
      </c>
      <c r="W8" s="1">
        <v>131.25</v>
      </c>
      <c r="Y8" s="1">
        <v>20.26</v>
      </c>
    </row>
    <row r="9">
      <c r="A9" s="11">
        <v>4118.0</v>
      </c>
      <c r="B9" s="1" t="s">
        <v>17</v>
      </c>
      <c r="Q9" s="28">
        <f>F44</f>
        <v>50</v>
      </c>
      <c r="S9" s="28">
        <f>G49</f>
        <v>25</v>
      </c>
      <c r="T9" s="28">
        <f>N29</f>
        <v>25</v>
      </c>
      <c r="V9" s="28">
        <f>O58</f>
        <v>20.26</v>
      </c>
    </row>
    <row r="10">
      <c r="A10" s="12">
        <v>4119.0</v>
      </c>
      <c r="B10" s="1" t="s">
        <v>18</v>
      </c>
      <c r="Q10" s="28">
        <f>F56</f>
        <v>40</v>
      </c>
      <c r="S10" s="28">
        <f>G60</f>
        <v>20</v>
      </c>
      <c r="T10" s="28">
        <f>N41</f>
        <v>20</v>
      </c>
      <c r="V10" s="28">
        <f>O74</f>
        <v>131.25</v>
      </c>
    </row>
    <row r="11">
      <c r="A11" s="13">
        <v>41110.0</v>
      </c>
      <c r="B11" s="1" t="s">
        <v>19</v>
      </c>
      <c r="Q11" s="28">
        <f>F70</f>
        <v>70</v>
      </c>
      <c r="S11" s="28">
        <f>G75</f>
        <v>35</v>
      </c>
      <c r="T11" s="28">
        <f>N45</f>
        <v>35</v>
      </c>
      <c r="V11" s="28">
        <f>O82</f>
        <v>4.4</v>
      </c>
    </row>
    <row r="12">
      <c r="A12" s="14">
        <v>41111.0</v>
      </c>
      <c r="B12" s="1" t="s">
        <v>20</v>
      </c>
      <c r="Q12" s="28">
        <f>F78</f>
        <v>140</v>
      </c>
      <c r="S12" s="28">
        <f>G83</f>
        <v>70</v>
      </c>
      <c r="T12" s="28">
        <f>N53</f>
        <v>22.47</v>
      </c>
      <c r="V12" s="28">
        <f>O90</f>
        <v>10</v>
      </c>
    </row>
    <row r="13">
      <c r="A13" s="54">
        <v>41112.0</v>
      </c>
      <c r="B13" s="1" t="s">
        <v>65</v>
      </c>
      <c r="Q13" s="28">
        <f>F90</f>
        <v>10</v>
      </c>
      <c r="S13" s="28">
        <f>G87</f>
        <v>25</v>
      </c>
      <c r="T13" s="28">
        <f>N61</f>
        <v>70</v>
      </c>
      <c r="V13" s="28">
        <f>O110</f>
        <v>6.16</v>
      </c>
    </row>
    <row r="14">
      <c r="D14" s="55"/>
      <c r="L14" s="55" t="s">
        <v>66</v>
      </c>
      <c r="Q14" s="28">
        <f>F94</f>
        <v>42.5</v>
      </c>
      <c r="S14" s="28">
        <f>G110</f>
        <v>45</v>
      </c>
      <c r="T14" s="28">
        <f>N65</f>
        <v>25</v>
      </c>
      <c r="V14" s="28">
        <f>O119</f>
        <v>42.5</v>
      </c>
    </row>
    <row r="15">
      <c r="L15" s="1" t="s">
        <v>67</v>
      </c>
      <c r="Q15" s="28">
        <f>F105</f>
        <v>90</v>
      </c>
      <c r="T15" s="28">
        <f>N69</f>
        <v>100</v>
      </c>
      <c r="V15" s="28">
        <f>O142</f>
        <v>23.8</v>
      </c>
    </row>
    <row r="16">
      <c r="B16" s="36"/>
      <c r="C16" s="36"/>
      <c r="D16" s="56"/>
      <c r="E16" s="36"/>
      <c r="F16" s="36"/>
      <c r="G16" s="36"/>
      <c r="J16" s="36"/>
      <c r="K16" s="36"/>
      <c r="L16" s="56">
        <v>45748.0</v>
      </c>
      <c r="M16" s="36"/>
      <c r="N16" s="36"/>
      <c r="O16" s="36"/>
      <c r="T16" s="28">
        <f>N85</f>
        <v>20</v>
      </c>
      <c r="V16" s="28">
        <f>O22</f>
        <v>6</v>
      </c>
    </row>
    <row r="17">
      <c r="B17" s="43"/>
      <c r="C17" s="36"/>
      <c r="D17" s="42"/>
      <c r="E17" s="36"/>
      <c r="F17" s="57"/>
      <c r="G17" s="36"/>
      <c r="J17" s="43">
        <v>2051.0</v>
      </c>
      <c r="K17" s="36"/>
      <c r="L17" s="42" t="s">
        <v>68</v>
      </c>
      <c r="M17" s="36"/>
      <c r="N17" s="57">
        <v>6.0</v>
      </c>
      <c r="O17" s="36"/>
      <c r="Q17" s="1" t="s">
        <v>69</v>
      </c>
      <c r="S17" s="1" t="s">
        <v>69</v>
      </c>
      <c r="T17" s="1" t="s">
        <v>69</v>
      </c>
      <c r="V17" s="1" t="s">
        <v>69</v>
      </c>
      <c r="W17" s="1" t="s">
        <v>69</v>
      </c>
      <c r="Y17" s="1" t="s">
        <v>69</v>
      </c>
    </row>
    <row r="18">
      <c r="B18" s="36"/>
      <c r="C18" s="4"/>
      <c r="D18" s="58"/>
      <c r="E18" s="36"/>
      <c r="F18" s="36"/>
      <c r="G18" s="57"/>
      <c r="J18" s="36"/>
      <c r="K18" s="4">
        <v>4016.0</v>
      </c>
      <c r="L18" s="58" t="s">
        <v>70</v>
      </c>
      <c r="M18" s="36"/>
      <c r="N18" s="36"/>
      <c r="O18" s="57">
        <v>6.0</v>
      </c>
      <c r="Q18" s="1">
        <f>SUM(Q8:Q16)</f>
        <v>462.5</v>
      </c>
      <c r="S18" s="1">
        <f t="shared" ref="S18:T18" si="1">SUM(S8:S16)</f>
        <v>230</v>
      </c>
      <c r="T18" s="1">
        <f t="shared" si="1"/>
        <v>327.47</v>
      </c>
      <c r="V18" s="1">
        <f t="shared" ref="V18:W18" si="2">SUM(V8:V16)</f>
        <v>248.79</v>
      </c>
      <c r="W18" s="1">
        <f t="shared" si="2"/>
        <v>131.25</v>
      </c>
      <c r="Y18" s="1">
        <f>SUM(Y8:Y16)</f>
        <v>20.26</v>
      </c>
    </row>
    <row r="19">
      <c r="B19" s="36"/>
      <c r="C19" s="58"/>
      <c r="D19" s="36"/>
      <c r="E19" s="36"/>
      <c r="F19" s="36"/>
      <c r="G19" s="36"/>
      <c r="J19" s="36"/>
      <c r="K19" s="58" t="s">
        <v>71</v>
      </c>
      <c r="L19" s="36"/>
      <c r="M19" s="36"/>
      <c r="N19" s="36"/>
      <c r="O19" s="36"/>
      <c r="Q19" s="1"/>
      <c r="R19" s="1" t="s">
        <v>69</v>
      </c>
      <c r="S19" s="1"/>
      <c r="U19" s="1" t="s">
        <v>69</v>
      </c>
    </row>
    <row r="20">
      <c r="B20" s="36"/>
      <c r="C20" s="36"/>
      <c r="D20" s="37"/>
      <c r="E20" s="36"/>
      <c r="F20" s="36"/>
      <c r="G20" s="36"/>
      <c r="J20" s="36"/>
      <c r="K20" s="36"/>
      <c r="L20" s="56">
        <v>45748.0</v>
      </c>
      <c r="M20" s="36"/>
      <c r="N20" s="36"/>
      <c r="O20" s="36"/>
      <c r="Q20" s="1"/>
      <c r="R20" s="28">
        <f>Q18-S18</f>
        <v>232.5</v>
      </c>
      <c r="S20" s="1"/>
      <c r="U20" s="28">
        <f>T18-V18</f>
        <v>78.68</v>
      </c>
    </row>
    <row r="21" ht="14.25" customHeight="1">
      <c r="B21" s="4"/>
      <c r="C21" s="36"/>
      <c r="D21" s="58"/>
      <c r="E21" s="36"/>
      <c r="F21" s="57"/>
      <c r="G21" s="36"/>
      <c r="J21" s="4">
        <v>4016.0</v>
      </c>
      <c r="K21" s="36"/>
      <c r="L21" s="58" t="s">
        <v>70</v>
      </c>
      <c r="M21" s="36"/>
      <c r="N21" s="57">
        <v>6.0</v>
      </c>
      <c r="O21" s="36"/>
      <c r="Q21" s="1"/>
      <c r="S21" s="1"/>
    </row>
    <row r="22" ht="18.75" customHeight="1">
      <c r="B22" s="35"/>
      <c r="C22" s="43"/>
      <c r="D22" s="55" t="s">
        <v>72</v>
      </c>
      <c r="F22" s="36"/>
      <c r="G22" s="57"/>
      <c r="J22" s="59"/>
      <c r="K22" s="47">
        <v>512.0</v>
      </c>
      <c r="L22" s="45" t="s">
        <v>29</v>
      </c>
      <c r="M22" s="45"/>
      <c r="N22" s="45"/>
      <c r="O22" s="60">
        <v>6.0</v>
      </c>
      <c r="Q22" s="1"/>
      <c r="S22" s="1"/>
    </row>
    <row r="23">
      <c r="B23" s="36"/>
      <c r="C23" s="58"/>
      <c r="D23" s="1" t="s">
        <v>67</v>
      </c>
      <c r="F23" s="36"/>
      <c r="G23" s="35"/>
      <c r="J23" s="36"/>
      <c r="K23" s="58" t="s">
        <v>73</v>
      </c>
      <c r="L23" s="35"/>
      <c r="M23" s="36"/>
      <c r="N23" s="36"/>
      <c r="O23" s="35"/>
    </row>
    <row r="24">
      <c r="D24" s="22">
        <v>45751.0</v>
      </c>
      <c r="J24" s="44"/>
      <c r="K24" s="35"/>
      <c r="L24" s="61">
        <v>45751.0</v>
      </c>
      <c r="M24" s="36"/>
      <c r="N24" s="43"/>
      <c r="O24" s="35"/>
    </row>
    <row r="25">
      <c r="B25" s="8">
        <v>41914.0</v>
      </c>
      <c r="D25" s="1" t="s">
        <v>54</v>
      </c>
      <c r="F25" s="1">
        <v>20.0</v>
      </c>
      <c r="J25" s="25">
        <v>512.0</v>
      </c>
      <c r="K25" s="24"/>
      <c r="L25" s="25" t="s">
        <v>29</v>
      </c>
      <c r="M25" s="24"/>
      <c r="N25" s="25">
        <v>10.0</v>
      </c>
      <c r="O25" s="24"/>
    </row>
    <row r="26">
      <c r="C26" s="1">
        <v>706.0</v>
      </c>
      <c r="D26" s="1" t="s">
        <v>27</v>
      </c>
      <c r="G26" s="1">
        <v>20.0</v>
      </c>
      <c r="K26" s="6">
        <v>4552.0</v>
      </c>
      <c r="L26" s="1" t="s">
        <v>43</v>
      </c>
      <c r="O26" s="1">
        <v>10.0</v>
      </c>
    </row>
    <row r="27">
      <c r="C27" s="1" t="s">
        <v>74</v>
      </c>
      <c r="K27" s="1" t="s">
        <v>58</v>
      </c>
    </row>
    <row r="28">
      <c r="D28" s="22">
        <v>45751.0</v>
      </c>
      <c r="L28" s="22">
        <v>45752.0</v>
      </c>
    </row>
    <row r="29">
      <c r="B29" s="25">
        <v>512.0</v>
      </c>
      <c r="C29" s="24"/>
      <c r="D29" s="25" t="s">
        <v>29</v>
      </c>
      <c r="E29" s="24"/>
      <c r="F29" s="25">
        <v>20.0</v>
      </c>
      <c r="G29" s="24"/>
      <c r="J29" s="25">
        <v>512.0</v>
      </c>
      <c r="K29" s="24"/>
      <c r="L29" s="25" t="s">
        <v>29</v>
      </c>
      <c r="M29" s="24"/>
      <c r="N29" s="25">
        <v>25.0</v>
      </c>
      <c r="O29" s="24"/>
    </row>
    <row r="30">
      <c r="C30" s="8">
        <v>41914.0</v>
      </c>
      <c r="D30" s="1" t="s">
        <v>54</v>
      </c>
      <c r="G30" s="1">
        <v>20.0</v>
      </c>
      <c r="K30" s="6">
        <v>4552.0</v>
      </c>
      <c r="L30" s="1" t="s">
        <v>43</v>
      </c>
      <c r="O30" s="1">
        <v>25.0</v>
      </c>
    </row>
    <row r="31">
      <c r="C31" s="1" t="s">
        <v>75</v>
      </c>
      <c r="K31" s="1" t="s">
        <v>76</v>
      </c>
    </row>
    <row r="32">
      <c r="D32" s="22">
        <v>45751.0</v>
      </c>
      <c r="L32" s="22">
        <v>45758.0</v>
      </c>
      <c r="U32" s="29"/>
    </row>
    <row r="33">
      <c r="B33" s="3">
        <v>4551.0</v>
      </c>
      <c r="D33" s="1" t="s">
        <v>45</v>
      </c>
      <c r="F33" s="1">
        <v>10.0</v>
      </c>
      <c r="J33" s="1">
        <v>706.0</v>
      </c>
      <c r="L33" s="1" t="s">
        <v>27</v>
      </c>
      <c r="N33" s="1">
        <v>4.42</v>
      </c>
    </row>
    <row r="34">
      <c r="B34" s="30"/>
      <c r="C34" s="32">
        <v>512.0</v>
      </c>
      <c r="D34" s="32" t="s">
        <v>29</v>
      </c>
      <c r="E34" s="30"/>
      <c r="F34" s="30"/>
      <c r="G34" s="32">
        <v>10.0</v>
      </c>
      <c r="K34" s="48">
        <v>4011.0</v>
      </c>
      <c r="L34" s="1" t="s">
        <v>77</v>
      </c>
      <c r="O34" s="1">
        <v>4.42</v>
      </c>
    </row>
    <row r="35">
      <c r="C35" s="1" t="s">
        <v>58</v>
      </c>
      <c r="K35" s="1" t="s">
        <v>78</v>
      </c>
      <c r="S35" s="62"/>
    </row>
    <row r="36">
      <c r="D36" s="22">
        <v>45752.0</v>
      </c>
      <c r="L36" s="22">
        <v>45758.0</v>
      </c>
    </row>
    <row r="37">
      <c r="B37" s="53">
        <v>41917.0</v>
      </c>
      <c r="D37" s="1" t="s">
        <v>79</v>
      </c>
      <c r="F37" s="1">
        <v>50.0</v>
      </c>
      <c r="J37" s="48">
        <v>4011.0</v>
      </c>
      <c r="L37" s="1" t="s">
        <v>77</v>
      </c>
      <c r="N37" s="1">
        <v>4.42</v>
      </c>
    </row>
    <row r="38">
      <c r="C38" s="1">
        <v>706.0</v>
      </c>
      <c r="D38" s="1" t="s">
        <v>27</v>
      </c>
      <c r="G38" s="1">
        <v>50.0</v>
      </c>
      <c r="J38" s="30"/>
      <c r="K38" s="32">
        <v>512.0</v>
      </c>
      <c r="L38" s="32" t="s">
        <v>29</v>
      </c>
      <c r="M38" s="30"/>
      <c r="N38" s="30"/>
      <c r="O38" s="32">
        <v>4.42</v>
      </c>
      <c r="Q38" s="1" t="s">
        <v>80</v>
      </c>
      <c r="R38" s="63">
        <v>0.125</v>
      </c>
      <c r="T38" s="1" t="s">
        <v>42</v>
      </c>
    </row>
    <row r="39">
      <c r="D39" s="22">
        <v>45752.0</v>
      </c>
      <c r="K39" s="1" t="s">
        <v>81</v>
      </c>
      <c r="T39" s="28">
        <f>O18</f>
        <v>6</v>
      </c>
    </row>
    <row r="40">
      <c r="B40" s="53">
        <v>4117.0</v>
      </c>
      <c r="D40" s="1" t="s">
        <v>82</v>
      </c>
      <c r="F40" s="1">
        <v>150.0</v>
      </c>
      <c r="L40" s="22">
        <v>45761.0</v>
      </c>
      <c r="Q40" s="1" t="s">
        <v>83</v>
      </c>
      <c r="R40" s="28">
        <f>150-W8</f>
        <v>18.75</v>
      </c>
      <c r="T40" s="28">
        <f>O34</f>
        <v>4.42</v>
      </c>
    </row>
    <row r="41">
      <c r="C41" s="1">
        <v>706.0</v>
      </c>
      <c r="D41" s="1" t="s">
        <v>27</v>
      </c>
      <c r="G41" s="1">
        <v>150.0</v>
      </c>
      <c r="J41" s="25">
        <v>512.0</v>
      </c>
      <c r="K41" s="24"/>
      <c r="L41" s="25" t="s">
        <v>29</v>
      </c>
      <c r="M41" s="24"/>
      <c r="N41" s="25">
        <v>20.0</v>
      </c>
      <c r="O41" s="24"/>
      <c r="R41" s="28">
        <f>N53-N57</f>
        <v>2.21</v>
      </c>
      <c r="T41" s="28">
        <f>O82</f>
        <v>4.4</v>
      </c>
    </row>
    <row r="42">
      <c r="C42" s="1" t="s">
        <v>84</v>
      </c>
      <c r="K42" s="6">
        <v>4552.0</v>
      </c>
      <c r="L42" s="1" t="s">
        <v>43</v>
      </c>
      <c r="O42" s="1">
        <v>20.0</v>
      </c>
      <c r="R42" s="1" t="s">
        <v>31</v>
      </c>
      <c r="T42" s="28">
        <f>O110</f>
        <v>6.16</v>
      </c>
    </row>
    <row r="43">
      <c r="D43" s="22">
        <v>45752.0</v>
      </c>
      <c r="K43" s="1" t="s">
        <v>58</v>
      </c>
      <c r="R43" s="28">
        <f>R40+R41</f>
        <v>20.96</v>
      </c>
      <c r="T43" s="28">
        <f>O142</f>
        <v>23.8</v>
      </c>
    </row>
    <row r="44">
      <c r="B44" s="25">
        <v>512.0</v>
      </c>
      <c r="C44" s="24"/>
      <c r="D44" s="25" t="s">
        <v>29</v>
      </c>
      <c r="E44" s="24"/>
      <c r="F44" s="25">
        <v>50.0</v>
      </c>
      <c r="G44" s="24"/>
      <c r="L44" s="22">
        <v>45761.0</v>
      </c>
      <c r="T44" s="1" t="s">
        <v>69</v>
      </c>
    </row>
    <row r="45">
      <c r="C45" s="53">
        <v>41917.0</v>
      </c>
      <c r="D45" s="1" t="s">
        <v>79</v>
      </c>
      <c r="G45" s="1">
        <v>50.0</v>
      </c>
      <c r="J45" s="25">
        <v>512.0</v>
      </c>
      <c r="K45" s="24"/>
      <c r="L45" s="25" t="s">
        <v>29</v>
      </c>
      <c r="M45" s="24"/>
      <c r="N45" s="25">
        <v>35.0</v>
      </c>
      <c r="O45" s="24"/>
      <c r="T45" s="28">
        <f>SUM(T39:T43)</f>
        <v>44.78</v>
      </c>
    </row>
    <row r="46">
      <c r="C46" s="1" t="s">
        <v>75</v>
      </c>
      <c r="K46" s="6">
        <v>4552.0</v>
      </c>
      <c r="L46" s="1" t="s">
        <v>43</v>
      </c>
      <c r="O46" s="1">
        <v>35.0</v>
      </c>
    </row>
    <row r="47">
      <c r="D47" s="22">
        <v>45752.0</v>
      </c>
      <c r="K47" s="1" t="s">
        <v>85</v>
      </c>
    </row>
    <row r="48">
      <c r="B48" s="3">
        <v>4551.0</v>
      </c>
      <c r="D48" s="1" t="s">
        <v>45</v>
      </c>
      <c r="F48" s="1">
        <v>25.0</v>
      </c>
      <c r="L48" s="22">
        <v>45761.0</v>
      </c>
    </row>
    <row r="49">
      <c r="B49" s="30"/>
      <c r="C49" s="32">
        <v>512.0</v>
      </c>
      <c r="D49" s="32" t="s">
        <v>29</v>
      </c>
      <c r="E49" s="30"/>
      <c r="F49" s="30"/>
      <c r="G49" s="32">
        <v>25.0</v>
      </c>
      <c r="J49" s="1">
        <v>41112.0</v>
      </c>
      <c r="L49" s="1" t="s">
        <v>86</v>
      </c>
      <c r="N49" s="1">
        <v>22.47</v>
      </c>
    </row>
    <row r="50">
      <c r="C50" s="1" t="s">
        <v>76</v>
      </c>
      <c r="K50" s="1">
        <v>706.0</v>
      </c>
      <c r="L50" s="1" t="s">
        <v>27</v>
      </c>
      <c r="O50" s="1">
        <v>22.47</v>
      </c>
    </row>
    <row r="51">
      <c r="D51" s="22">
        <v>45753.0</v>
      </c>
      <c r="K51" s="1" t="s">
        <v>87</v>
      </c>
    </row>
    <row r="52">
      <c r="B52" s="8">
        <v>41914.0</v>
      </c>
      <c r="D52" s="1" t="s">
        <v>54</v>
      </c>
      <c r="F52" s="1">
        <v>40.0</v>
      </c>
      <c r="L52" s="22">
        <v>45761.0</v>
      </c>
    </row>
    <row r="53">
      <c r="C53" s="1">
        <v>706.0</v>
      </c>
      <c r="D53" s="1" t="s">
        <v>27</v>
      </c>
      <c r="G53" s="1">
        <v>40.0</v>
      </c>
      <c r="J53" s="25">
        <v>512.0</v>
      </c>
      <c r="K53" s="24"/>
      <c r="L53" s="25" t="s">
        <v>29</v>
      </c>
      <c r="M53" s="24"/>
      <c r="N53" s="25">
        <v>22.47</v>
      </c>
      <c r="O53" s="24"/>
    </row>
    <row r="54">
      <c r="C54" s="1" t="s">
        <v>88</v>
      </c>
      <c r="K54" s="1">
        <v>41112.0</v>
      </c>
      <c r="L54" s="1" t="s">
        <v>86</v>
      </c>
      <c r="O54" s="1">
        <v>22.47</v>
      </c>
    </row>
    <row r="55">
      <c r="D55" s="22">
        <v>45753.0</v>
      </c>
      <c r="K55" s="1" t="s">
        <v>89</v>
      </c>
    </row>
    <row r="56">
      <c r="B56" s="25">
        <v>512.0</v>
      </c>
      <c r="C56" s="24"/>
      <c r="D56" s="25" t="s">
        <v>29</v>
      </c>
      <c r="E56" s="24"/>
      <c r="F56" s="25">
        <v>40.0</v>
      </c>
      <c r="G56" s="24"/>
      <c r="L56" s="22">
        <v>45761.0</v>
      </c>
    </row>
    <row r="57">
      <c r="C57" s="8">
        <v>41914.0</v>
      </c>
      <c r="D57" s="1" t="s">
        <v>54</v>
      </c>
      <c r="G57" s="1">
        <v>40.0</v>
      </c>
      <c r="J57" s="52">
        <v>4556.0</v>
      </c>
      <c r="L57" s="1" t="s">
        <v>90</v>
      </c>
      <c r="N57" s="1">
        <v>20.26</v>
      </c>
    </row>
    <row r="58">
      <c r="D58" s="22">
        <v>45761.0</v>
      </c>
      <c r="J58" s="30"/>
      <c r="K58" s="32">
        <v>512.0</v>
      </c>
      <c r="L58" s="32" t="s">
        <v>29</v>
      </c>
      <c r="M58" s="30"/>
      <c r="N58" s="30"/>
      <c r="O58" s="32">
        <v>20.26</v>
      </c>
    </row>
    <row r="59">
      <c r="B59" s="3">
        <v>4551.0</v>
      </c>
      <c r="D59" s="1" t="s">
        <v>45</v>
      </c>
      <c r="F59" s="1">
        <v>20.0</v>
      </c>
      <c r="K59" s="1" t="s">
        <v>91</v>
      </c>
    </row>
    <row r="60">
      <c r="B60" s="30"/>
      <c r="C60" s="32">
        <v>512.0</v>
      </c>
      <c r="D60" s="32" t="s">
        <v>29</v>
      </c>
      <c r="E60" s="30"/>
      <c r="F60" s="30"/>
      <c r="G60" s="32">
        <v>20.0</v>
      </c>
      <c r="L60" s="22">
        <v>45762.0</v>
      </c>
    </row>
    <row r="61">
      <c r="C61" s="1" t="s">
        <v>58</v>
      </c>
      <c r="J61" s="25">
        <v>512.0</v>
      </c>
      <c r="K61" s="24"/>
      <c r="L61" s="25" t="s">
        <v>29</v>
      </c>
      <c r="M61" s="24"/>
      <c r="N61" s="25">
        <v>70.0</v>
      </c>
      <c r="O61" s="24"/>
    </row>
    <row r="62">
      <c r="D62" s="22">
        <v>45761.0</v>
      </c>
      <c r="K62" s="6">
        <v>4552.0</v>
      </c>
      <c r="L62" s="1" t="s">
        <v>43</v>
      </c>
      <c r="O62" s="1">
        <v>70.0</v>
      </c>
    </row>
    <row r="63">
      <c r="B63" s="4">
        <v>41916.0</v>
      </c>
      <c r="D63" s="1" t="s">
        <v>92</v>
      </c>
      <c r="F63" s="1">
        <v>70.0</v>
      </c>
      <c r="K63" s="1" t="s">
        <v>93</v>
      </c>
    </row>
    <row r="64">
      <c r="C64" s="1">
        <v>706.0</v>
      </c>
      <c r="D64" s="1" t="s">
        <v>27</v>
      </c>
      <c r="G64" s="1">
        <v>70.0</v>
      </c>
      <c r="L64" s="22">
        <v>45763.0</v>
      </c>
    </row>
    <row r="65">
      <c r="D65" s="22">
        <v>45761.0</v>
      </c>
      <c r="J65" s="25">
        <v>512.0</v>
      </c>
      <c r="K65" s="24"/>
      <c r="L65" s="25" t="s">
        <v>29</v>
      </c>
      <c r="M65" s="24"/>
      <c r="N65" s="25">
        <v>25.0</v>
      </c>
      <c r="O65" s="24"/>
    </row>
    <row r="66">
      <c r="B66" s="4">
        <v>4116.0</v>
      </c>
      <c r="D66" s="1" t="s">
        <v>94</v>
      </c>
      <c r="F66" s="1">
        <v>175.0</v>
      </c>
      <c r="K66" s="6">
        <v>4552.0</v>
      </c>
      <c r="L66" s="1" t="s">
        <v>43</v>
      </c>
      <c r="O66" s="1">
        <v>25.0</v>
      </c>
    </row>
    <row r="67">
      <c r="C67" s="1">
        <v>706.0</v>
      </c>
      <c r="D67" s="1" t="s">
        <v>27</v>
      </c>
      <c r="G67" s="1">
        <v>175.0</v>
      </c>
      <c r="K67" s="1" t="s">
        <v>95</v>
      </c>
    </row>
    <row r="68">
      <c r="C68" s="1" t="s">
        <v>96</v>
      </c>
      <c r="L68" s="22">
        <v>45763.0</v>
      </c>
    </row>
    <row r="69">
      <c r="D69" s="22">
        <v>45761.0</v>
      </c>
      <c r="J69" s="25">
        <v>512.0</v>
      </c>
      <c r="K69" s="24"/>
      <c r="L69" s="25" t="s">
        <v>29</v>
      </c>
      <c r="M69" s="24"/>
      <c r="N69" s="25">
        <v>100.0</v>
      </c>
      <c r="O69" s="24"/>
    </row>
    <row r="70">
      <c r="B70" s="25">
        <v>512.0</v>
      </c>
      <c r="C70" s="24"/>
      <c r="D70" s="25" t="s">
        <v>29</v>
      </c>
      <c r="E70" s="24"/>
      <c r="F70" s="25">
        <v>70.0</v>
      </c>
      <c r="G70" s="24"/>
      <c r="K70" s="53">
        <v>4117.0</v>
      </c>
      <c r="L70" s="1" t="s">
        <v>82</v>
      </c>
      <c r="O70" s="1">
        <v>100.0</v>
      </c>
    </row>
    <row r="71">
      <c r="C71" s="4">
        <v>41916.0</v>
      </c>
      <c r="D71" s="1" t="s">
        <v>92</v>
      </c>
      <c r="G71" s="1">
        <v>70.0</v>
      </c>
      <c r="K71" s="1" t="s">
        <v>97</v>
      </c>
    </row>
    <row r="72">
      <c r="C72" s="1" t="s">
        <v>75</v>
      </c>
      <c r="L72" s="22">
        <v>45763.0</v>
      </c>
    </row>
    <row r="73">
      <c r="D73" s="22">
        <v>45761.0</v>
      </c>
      <c r="J73" s="50">
        <v>4554.0</v>
      </c>
      <c r="L73" s="1" t="s">
        <v>98</v>
      </c>
      <c r="N73" s="1">
        <v>131.25</v>
      </c>
    </row>
    <row r="74">
      <c r="B74" s="3">
        <v>4551.0</v>
      </c>
      <c r="D74" s="1" t="s">
        <v>45</v>
      </c>
      <c r="F74" s="1">
        <v>35.0</v>
      </c>
      <c r="J74" s="30"/>
      <c r="K74" s="32">
        <v>512.0</v>
      </c>
      <c r="L74" s="32" t="s">
        <v>29</v>
      </c>
      <c r="M74" s="30"/>
      <c r="N74" s="30"/>
      <c r="O74" s="32">
        <v>131.25</v>
      </c>
    </row>
    <row r="75">
      <c r="B75" s="30"/>
      <c r="C75" s="32">
        <v>512.0</v>
      </c>
      <c r="D75" s="32" t="s">
        <v>29</v>
      </c>
      <c r="E75" s="30"/>
      <c r="F75" s="30"/>
      <c r="G75" s="32">
        <v>35.0</v>
      </c>
      <c r="K75" s="1" t="s">
        <v>99</v>
      </c>
    </row>
    <row r="76">
      <c r="C76" s="1" t="s">
        <v>85</v>
      </c>
      <c r="L76" s="22">
        <v>45765.0</v>
      </c>
    </row>
    <row r="77">
      <c r="D77" s="22">
        <v>45762.0</v>
      </c>
      <c r="J77" s="1">
        <v>706.0</v>
      </c>
      <c r="L77" s="1" t="s">
        <v>27</v>
      </c>
      <c r="N77" s="1">
        <v>4.4</v>
      </c>
    </row>
    <row r="78">
      <c r="B78" s="25">
        <v>512.0</v>
      </c>
      <c r="C78" s="24"/>
      <c r="D78" s="25" t="s">
        <v>29</v>
      </c>
      <c r="E78" s="24"/>
      <c r="F78" s="25">
        <v>140.0</v>
      </c>
      <c r="G78" s="24"/>
      <c r="K78" s="48">
        <v>4011.0</v>
      </c>
      <c r="L78" s="1" t="s">
        <v>77</v>
      </c>
      <c r="O78" s="1">
        <v>4.4</v>
      </c>
    </row>
    <row r="79">
      <c r="C79" s="8">
        <v>41914.0</v>
      </c>
      <c r="D79" s="1" t="s">
        <v>54</v>
      </c>
      <c r="G79" s="1">
        <v>140.0</v>
      </c>
      <c r="K79" s="1" t="s">
        <v>78</v>
      </c>
    </row>
    <row r="80">
      <c r="C80" s="1" t="s">
        <v>97</v>
      </c>
      <c r="L80" s="22">
        <v>45765.0</v>
      </c>
    </row>
    <row r="81">
      <c r="D81" s="22">
        <v>45762.0</v>
      </c>
      <c r="J81" s="48">
        <v>4011.0</v>
      </c>
      <c r="L81" s="1" t="s">
        <v>77</v>
      </c>
      <c r="N81" s="1">
        <v>4.4</v>
      </c>
    </row>
    <row r="82">
      <c r="B82" s="3">
        <v>4551.0</v>
      </c>
      <c r="D82" s="1" t="s">
        <v>45</v>
      </c>
      <c r="F82" s="1">
        <v>70.0</v>
      </c>
      <c r="J82" s="30"/>
      <c r="K82" s="32">
        <v>512.0</v>
      </c>
      <c r="L82" s="32" t="s">
        <v>29</v>
      </c>
      <c r="M82" s="30"/>
      <c r="N82" s="30"/>
      <c r="O82" s="32">
        <v>4.4</v>
      </c>
    </row>
    <row r="83">
      <c r="B83" s="30"/>
      <c r="C83" s="32">
        <v>512.0</v>
      </c>
      <c r="D83" s="32" t="s">
        <v>29</v>
      </c>
      <c r="E83" s="30"/>
      <c r="F83" s="30"/>
      <c r="G83" s="32">
        <v>70.0</v>
      </c>
      <c r="K83" s="1" t="s">
        <v>81</v>
      </c>
    </row>
    <row r="84">
      <c r="C84" s="1" t="s">
        <v>93</v>
      </c>
      <c r="L84" s="22">
        <v>45765.0</v>
      </c>
    </row>
    <row r="85">
      <c r="D85" s="22">
        <v>45763.0</v>
      </c>
      <c r="J85" s="25">
        <v>512.0</v>
      </c>
      <c r="K85" s="24"/>
      <c r="L85" s="25" t="s">
        <v>29</v>
      </c>
      <c r="M85" s="24"/>
      <c r="N85" s="25">
        <v>20.0</v>
      </c>
      <c r="O85" s="24"/>
    </row>
    <row r="86">
      <c r="B86" s="3">
        <v>4551.0</v>
      </c>
      <c r="D86" s="1" t="s">
        <v>45</v>
      </c>
      <c r="F86" s="1">
        <v>25.0</v>
      </c>
      <c r="K86" s="4">
        <v>4116.0</v>
      </c>
      <c r="L86" s="1" t="s">
        <v>94</v>
      </c>
      <c r="O86" s="1">
        <v>20.0</v>
      </c>
    </row>
    <row r="87">
      <c r="B87" s="30"/>
      <c r="C87" s="32">
        <v>512.0</v>
      </c>
      <c r="D87" s="32" t="s">
        <v>29</v>
      </c>
      <c r="E87" s="30"/>
      <c r="F87" s="30"/>
      <c r="G87" s="32">
        <v>25.0</v>
      </c>
      <c r="K87" s="1" t="s">
        <v>100</v>
      </c>
    </row>
    <row r="88">
      <c r="C88" s="1" t="s">
        <v>101</v>
      </c>
      <c r="L88" s="22">
        <v>45765.0</v>
      </c>
    </row>
    <row r="89">
      <c r="D89" s="22">
        <v>45765.0</v>
      </c>
      <c r="J89" s="6">
        <v>4552.0</v>
      </c>
      <c r="L89" s="1" t="s">
        <v>43</v>
      </c>
      <c r="N89" s="1">
        <v>10.0</v>
      </c>
    </row>
    <row r="90">
      <c r="B90" s="25">
        <v>512.0</v>
      </c>
      <c r="C90" s="24"/>
      <c r="D90" s="25" t="s">
        <v>29</v>
      </c>
      <c r="E90" s="24"/>
      <c r="F90" s="25">
        <v>10.0</v>
      </c>
      <c r="G90" s="24"/>
      <c r="J90" s="30"/>
      <c r="K90" s="32">
        <v>512.0</v>
      </c>
      <c r="L90" s="32" t="s">
        <v>29</v>
      </c>
      <c r="M90" s="30"/>
      <c r="N90" s="30"/>
      <c r="O90" s="32">
        <v>10.0</v>
      </c>
    </row>
    <row r="91">
      <c r="C91" s="3">
        <v>4551.0</v>
      </c>
      <c r="D91" s="1" t="s">
        <v>45</v>
      </c>
      <c r="G91" s="1">
        <v>10.0</v>
      </c>
      <c r="K91" s="1" t="s">
        <v>102</v>
      </c>
    </row>
    <row r="92">
      <c r="C92" s="1" t="s">
        <v>102</v>
      </c>
      <c r="L92" s="22">
        <v>45766.0</v>
      </c>
    </row>
    <row r="93">
      <c r="D93" s="22">
        <v>45771.0</v>
      </c>
      <c r="J93" s="11">
        <v>41918.0</v>
      </c>
      <c r="L93" s="1" t="s">
        <v>103</v>
      </c>
      <c r="N93" s="1">
        <v>60.0</v>
      </c>
    </row>
    <row r="94">
      <c r="B94" s="25">
        <v>512.0</v>
      </c>
      <c r="C94" s="24"/>
      <c r="D94" s="25" t="s">
        <v>29</v>
      </c>
      <c r="E94" s="24"/>
      <c r="F94" s="25">
        <v>42.5</v>
      </c>
      <c r="G94" s="24"/>
      <c r="K94" s="1">
        <v>706.0</v>
      </c>
      <c r="L94" s="1" t="s">
        <v>27</v>
      </c>
      <c r="O94" s="1">
        <v>60.0</v>
      </c>
    </row>
    <row r="95">
      <c r="C95" s="3">
        <v>4551.0</v>
      </c>
      <c r="D95" s="1" t="s">
        <v>45</v>
      </c>
      <c r="G95" s="1">
        <v>42.5</v>
      </c>
      <c r="K95" s="1" t="s">
        <v>104</v>
      </c>
    </row>
    <row r="96">
      <c r="C96" s="1" t="s">
        <v>105</v>
      </c>
      <c r="L96" s="22">
        <v>45766.0</v>
      </c>
    </row>
    <row r="97">
      <c r="D97" s="22">
        <v>45776.0</v>
      </c>
      <c r="J97" s="11">
        <v>4118.0</v>
      </c>
      <c r="L97" s="1" t="s">
        <v>106</v>
      </c>
      <c r="N97" s="1">
        <v>180.0</v>
      </c>
    </row>
    <row r="98">
      <c r="B98" s="13">
        <v>419110.0</v>
      </c>
      <c r="D98" s="1" t="s">
        <v>107</v>
      </c>
      <c r="F98" s="1">
        <v>90.0</v>
      </c>
      <c r="K98" s="1">
        <v>706.0</v>
      </c>
      <c r="L98" s="1" t="s">
        <v>27</v>
      </c>
      <c r="O98" s="1">
        <v>180.0</v>
      </c>
    </row>
    <row r="99">
      <c r="C99" s="1">
        <v>706.0</v>
      </c>
      <c r="D99" s="1" t="s">
        <v>27</v>
      </c>
      <c r="G99" s="1">
        <v>90.0</v>
      </c>
      <c r="K99" s="1" t="s">
        <v>108</v>
      </c>
    </row>
    <row r="100">
      <c r="C100" s="1" t="s">
        <v>109</v>
      </c>
      <c r="L100" s="22">
        <v>45766.0</v>
      </c>
    </row>
    <row r="101">
      <c r="D101" s="22">
        <v>45776.0</v>
      </c>
      <c r="J101" s="25">
        <v>512.0</v>
      </c>
      <c r="K101" s="24"/>
      <c r="L101" s="25" t="s">
        <v>29</v>
      </c>
      <c r="M101" s="24"/>
      <c r="N101" s="25">
        <v>60.0</v>
      </c>
      <c r="O101" s="24"/>
    </row>
    <row r="102">
      <c r="B102" s="13">
        <v>41110.0</v>
      </c>
      <c r="D102" s="1" t="s">
        <v>110</v>
      </c>
      <c r="F102" s="1">
        <v>230.0</v>
      </c>
      <c r="K102" s="11">
        <v>41918.0</v>
      </c>
      <c r="L102" s="1" t="s">
        <v>103</v>
      </c>
      <c r="O102" s="1">
        <v>60.0</v>
      </c>
    </row>
    <row r="103">
      <c r="C103" s="1">
        <v>706.0</v>
      </c>
      <c r="D103" s="1" t="s">
        <v>27</v>
      </c>
      <c r="G103" s="1">
        <v>230.0</v>
      </c>
      <c r="K103" s="1" t="s">
        <v>75</v>
      </c>
    </row>
    <row r="104">
      <c r="C104" s="1" t="s">
        <v>111</v>
      </c>
      <c r="L104" s="22">
        <v>45767.0</v>
      </c>
    </row>
    <row r="105">
      <c r="B105" s="25">
        <v>512.0</v>
      </c>
      <c r="C105" s="24"/>
      <c r="D105" s="25" t="s">
        <v>29</v>
      </c>
      <c r="E105" s="24"/>
      <c r="F105" s="25">
        <v>90.0</v>
      </c>
      <c r="G105" s="24"/>
      <c r="J105" s="1">
        <v>706.0</v>
      </c>
      <c r="L105" s="1" t="s">
        <v>27</v>
      </c>
      <c r="N105" s="1">
        <v>6.16</v>
      </c>
    </row>
    <row r="106">
      <c r="C106" s="13">
        <v>419110.0</v>
      </c>
      <c r="D106" s="1" t="s">
        <v>107</v>
      </c>
      <c r="G106" s="1">
        <v>90.0</v>
      </c>
      <c r="K106" s="48">
        <v>4011.0</v>
      </c>
      <c r="L106" s="1" t="s">
        <v>77</v>
      </c>
      <c r="O106" s="1">
        <v>6.16</v>
      </c>
    </row>
    <row r="107">
      <c r="C107" s="1" t="s">
        <v>75</v>
      </c>
      <c r="K107" s="1" t="s">
        <v>78</v>
      </c>
    </row>
    <row r="108">
      <c r="D108" s="22">
        <v>45776.0</v>
      </c>
      <c r="L108" s="22">
        <v>45767.0</v>
      </c>
    </row>
    <row r="109">
      <c r="B109" s="3">
        <v>4551.0</v>
      </c>
      <c r="D109" s="1" t="s">
        <v>45</v>
      </c>
      <c r="F109" s="1">
        <v>45.0</v>
      </c>
      <c r="J109" s="48">
        <v>4011.0</v>
      </c>
      <c r="L109" s="1" t="s">
        <v>77</v>
      </c>
      <c r="N109" s="1">
        <v>6.16</v>
      </c>
    </row>
    <row r="110">
      <c r="B110" s="30"/>
      <c r="C110" s="32">
        <v>512.0</v>
      </c>
      <c r="D110" s="32" t="s">
        <v>29</v>
      </c>
      <c r="E110" s="30"/>
      <c r="F110" s="30"/>
      <c r="G110" s="32">
        <v>45.0</v>
      </c>
      <c r="J110" s="30"/>
      <c r="K110" s="32">
        <v>512.0</v>
      </c>
      <c r="L110" s="32" t="s">
        <v>29</v>
      </c>
      <c r="M110" s="30"/>
      <c r="N110" s="30"/>
      <c r="O110" s="32">
        <v>6.16</v>
      </c>
    </row>
    <row r="111">
      <c r="C111" s="1" t="s">
        <v>112</v>
      </c>
      <c r="K111" s="1" t="s">
        <v>113</v>
      </c>
    </row>
    <row r="112">
      <c r="L112" s="22">
        <v>45771.0</v>
      </c>
    </row>
    <row r="113">
      <c r="J113" s="25">
        <v>512.0</v>
      </c>
      <c r="K113" s="24"/>
      <c r="L113" s="25" t="s">
        <v>29</v>
      </c>
      <c r="M113" s="24"/>
      <c r="N113" s="25">
        <v>85.0</v>
      </c>
      <c r="O113" s="24"/>
    </row>
    <row r="114">
      <c r="K114" s="4">
        <v>4116.0</v>
      </c>
      <c r="L114" s="1" t="s">
        <v>94</v>
      </c>
      <c r="O114" s="1">
        <v>85.0</v>
      </c>
    </row>
    <row r="115">
      <c r="K115" s="1" t="s">
        <v>114</v>
      </c>
    </row>
    <row r="116">
      <c r="L116" s="22">
        <v>45771.0</v>
      </c>
    </row>
    <row r="117">
      <c r="J117" s="6">
        <v>4552.0</v>
      </c>
      <c r="L117" s="1" t="s">
        <v>43</v>
      </c>
    </row>
    <row r="118">
      <c r="J118" s="30"/>
      <c r="K118" s="32">
        <v>512.0</v>
      </c>
      <c r="L118" s="32" t="s">
        <v>29</v>
      </c>
      <c r="M118" s="30"/>
      <c r="N118" s="32">
        <v>42.5</v>
      </c>
      <c r="O118" s="30"/>
    </row>
    <row r="119">
      <c r="K119" s="1" t="s">
        <v>105</v>
      </c>
      <c r="O119" s="1">
        <v>42.5</v>
      </c>
    </row>
    <row r="120">
      <c r="L120" s="22">
        <v>45772.0</v>
      </c>
    </row>
    <row r="121">
      <c r="J121" s="12">
        <v>41919.0</v>
      </c>
      <c r="L121" s="1" t="s">
        <v>115</v>
      </c>
      <c r="N121" s="1">
        <v>17.5</v>
      </c>
    </row>
    <row r="122">
      <c r="K122" s="1">
        <v>706.0</v>
      </c>
      <c r="L122" s="1" t="s">
        <v>27</v>
      </c>
      <c r="O122" s="1">
        <v>17.5</v>
      </c>
    </row>
    <row r="123">
      <c r="K123" s="1" t="s">
        <v>116</v>
      </c>
    </row>
    <row r="124">
      <c r="L124" s="22">
        <v>45772.0</v>
      </c>
    </row>
    <row r="125">
      <c r="J125" s="12">
        <v>4119.0</v>
      </c>
      <c r="L125" s="1" t="s">
        <v>117</v>
      </c>
      <c r="N125" s="1">
        <v>67.5</v>
      </c>
    </row>
    <row r="126">
      <c r="K126" s="1">
        <v>706.0</v>
      </c>
      <c r="L126" s="1" t="s">
        <v>27</v>
      </c>
      <c r="O126" s="1">
        <v>67.5</v>
      </c>
    </row>
    <row r="127">
      <c r="K127" s="1" t="s">
        <v>118</v>
      </c>
    </row>
    <row r="128">
      <c r="L128" s="22">
        <v>45772.0</v>
      </c>
    </row>
    <row r="129">
      <c r="J129" s="25">
        <v>512.0</v>
      </c>
      <c r="K129" s="24"/>
      <c r="L129" s="25" t="s">
        <v>29</v>
      </c>
      <c r="M129" s="24"/>
      <c r="N129" s="25">
        <v>17.5</v>
      </c>
      <c r="O129" s="24"/>
    </row>
    <row r="130">
      <c r="K130" s="12">
        <v>41919.0</v>
      </c>
      <c r="L130" s="1" t="s">
        <v>115</v>
      </c>
      <c r="O130" s="1">
        <v>17.5</v>
      </c>
    </row>
    <row r="131">
      <c r="K131" s="1" t="s">
        <v>75</v>
      </c>
    </row>
    <row r="132">
      <c r="L132" s="22">
        <v>45776.0</v>
      </c>
    </row>
    <row r="133">
      <c r="J133" s="25">
        <v>512.0</v>
      </c>
      <c r="K133" s="24"/>
      <c r="L133" s="25" t="s">
        <v>29</v>
      </c>
      <c r="M133" s="24"/>
      <c r="N133" s="25">
        <v>45.0</v>
      </c>
      <c r="O133" s="24"/>
    </row>
    <row r="134">
      <c r="K134" s="6">
        <v>4552.0</v>
      </c>
      <c r="L134" s="1" t="s">
        <v>43</v>
      </c>
      <c r="O134" s="1">
        <v>45.0</v>
      </c>
    </row>
    <row r="135">
      <c r="K135" s="1" t="s">
        <v>112</v>
      </c>
    </row>
    <row r="136">
      <c r="L136" s="22">
        <v>45776.0</v>
      </c>
    </row>
    <row r="137">
      <c r="J137" s="1">
        <v>2051.0</v>
      </c>
      <c r="L137" s="1" t="s">
        <v>68</v>
      </c>
      <c r="N137" s="1">
        <v>23.8</v>
      </c>
    </row>
    <row r="138">
      <c r="K138" s="49">
        <v>4012.0</v>
      </c>
      <c r="L138" s="1" t="s">
        <v>119</v>
      </c>
      <c r="O138" s="1">
        <v>23.8</v>
      </c>
    </row>
    <row r="139">
      <c r="K139" s="1" t="s">
        <v>120</v>
      </c>
    </row>
    <row r="140">
      <c r="L140" s="22">
        <v>45776.0</v>
      </c>
    </row>
    <row r="141">
      <c r="J141" s="49">
        <v>4012.0</v>
      </c>
      <c r="L141" s="1" t="s">
        <v>119</v>
      </c>
      <c r="N141" s="1">
        <v>23.8</v>
      </c>
    </row>
    <row r="142">
      <c r="J142" s="30"/>
      <c r="K142" s="32">
        <v>512.0</v>
      </c>
      <c r="L142" s="32" t="s">
        <v>29</v>
      </c>
      <c r="M142" s="30"/>
      <c r="N142" s="30"/>
      <c r="O142" s="32">
        <v>23.8</v>
      </c>
    </row>
    <row r="143">
      <c r="K143" s="1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11.13"/>
    <col customWidth="1" min="25" max="25" width="12.0"/>
    <col customWidth="1" min="26" max="26" width="14.88"/>
    <col customWidth="1" min="27" max="27" width="14.38"/>
    <col customWidth="1" min="28" max="28" width="14.25"/>
  </cols>
  <sheetData>
    <row r="1">
      <c r="A1" s="1" t="s">
        <v>0</v>
      </c>
      <c r="D1" s="1" t="s">
        <v>1</v>
      </c>
      <c r="F1" s="1" t="s">
        <v>62</v>
      </c>
    </row>
    <row r="2">
      <c r="A2" s="2">
        <v>4111.0</v>
      </c>
      <c r="B2" s="1" t="s">
        <v>122</v>
      </c>
      <c r="D2" s="3">
        <v>4551.0</v>
      </c>
      <c r="E2" s="1" t="s">
        <v>4</v>
      </c>
      <c r="F2" s="48">
        <v>4011.0</v>
      </c>
      <c r="G2" s="1" t="s">
        <v>63</v>
      </c>
    </row>
    <row r="3">
      <c r="A3" s="5">
        <v>4112.0</v>
      </c>
      <c r="B3" s="1" t="s">
        <v>123</v>
      </c>
      <c r="D3" s="6">
        <v>4552.0</v>
      </c>
      <c r="E3" s="1" t="s">
        <v>7</v>
      </c>
      <c r="F3" s="49">
        <v>4012.0</v>
      </c>
      <c r="G3" s="1" t="s">
        <v>64</v>
      </c>
    </row>
    <row r="4">
      <c r="A4" s="7">
        <v>4113.0</v>
      </c>
      <c r="B4" s="1" t="s">
        <v>124</v>
      </c>
      <c r="D4" s="64">
        <v>4553.0</v>
      </c>
      <c r="E4" s="1" t="s">
        <v>9</v>
      </c>
      <c r="F4" s="65">
        <v>4013.0</v>
      </c>
      <c r="G4" s="1" t="s">
        <v>125</v>
      </c>
    </row>
    <row r="5">
      <c r="A5" s="8">
        <v>4114.0</v>
      </c>
      <c r="B5" s="1" t="s">
        <v>126</v>
      </c>
      <c r="D5" s="50">
        <v>4554.0</v>
      </c>
      <c r="E5" s="1" t="s">
        <v>11</v>
      </c>
      <c r="F5" s="4">
        <v>4016.0</v>
      </c>
      <c r="G5" s="1" t="s">
        <v>5</v>
      </c>
    </row>
    <row r="6">
      <c r="A6" s="9">
        <v>4115.0</v>
      </c>
      <c r="B6" s="1" t="s">
        <v>127</v>
      </c>
      <c r="D6" s="53">
        <v>4555.0</v>
      </c>
      <c r="E6" s="1" t="s">
        <v>13</v>
      </c>
      <c r="K6" s="1" t="s">
        <v>4</v>
      </c>
      <c r="N6" s="1" t="s">
        <v>7</v>
      </c>
      <c r="O6" s="1" t="s">
        <v>11</v>
      </c>
      <c r="P6" s="1" t="s">
        <v>13</v>
      </c>
      <c r="Q6" s="1" t="s">
        <v>9</v>
      </c>
    </row>
    <row r="7">
      <c r="A7" s="4">
        <v>4116.0</v>
      </c>
      <c r="B7" s="1" t="s">
        <v>128</v>
      </c>
      <c r="D7" s="52"/>
      <c r="K7" s="1">
        <v>512.0</v>
      </c>
      <c r="N7" s="1">
        <v>512.0</v>
      </c>
      <c r="O7" s="1">
        <v>512.0</v>
      </c>
      <c r="P7" s="1">
        <v>512.0</v>
      </c>
      <c r="Q7" s="1">
        <v>512.0</v>
      </c>
      <c r="V7" s="15"/>
      <c r="W7" s="15"/>
      <c r="Y7" s="15"/>
      <c r="AA7" s="15"/>
    </row>
    <row r="8">
      <c r="A8" s="53">
        <v>4117.0</v>
      </c>
      <c r="B8" s="1" t="s">
        <v>129</v>
      </c>
      <c r="D8" s="66">
        <v>4557.0</v>
      </c>
      <c r="E8" s="1" t="s">
        <v>130</v>
      </c>
      <c r="J8" s="1" t="s">
        <v>23</v>
      </c>
      <c r="K8" s="15"/>
      <c r="L8" s="1" t="s">
        <v>24</v>
      </c>
      <c r="M8" s="15"/>
      <c r="N8" s="15" t="s">
        <v>23</v>
      </c>
      <c r="O8" s="15" t="s">
        <v>23</v>
      </c>
      <c r="P8" s="15" t="s">
        <v>23</v>
      </c>
      <c r="Q8" s="15" t="s">
        <v>23</v>
      </c>
    </row>
    <row r="9">
      <c r="A9" s="11">
        <v>4118.0</v>
      </c>
      <c r="J9" s="67">
        <f>F38</f>
        <v>40</v>
      </c>
      <c r="L9" s="67">
        <f>G47</f>
        <v>78.5</v>
      </c>
      <c r="M9" s="15"/>
      <c r="N9" s="67">
        <f>G87</f>
        <v>70</v>
      </c>
      <c r="O9" s="67">
        <f>F46</f>
        <v>78.5</v>
      </c>
      <c r="P9" s="67">
        <f>G67</f>
        <v>57.37</v>
      </c>
      <c r="Q9" s="67">
        <f>G51</f>
        <v>78.5</v>
      </c>
    </row>
    <row r="10">
      <c r="A10" s="12">
        <v>4119.0</v>
      </c>
      <c r="B10" s="1" t="s">
        <v>18</v>
      </c>
      <c r="J10" s="28">
        <f>F42</f>
        <v>120</v>
      </c>
      <c r="L10" s="28">
        <f>G51</f>
        <v>78.5</v>
      </c>
      <c r="N10" s="28">
        <f>G163</f>
        <v>40</v>
      </c>
      <c r="Q10" s="28">
        <f>G190</f>
        <v>68</v>
      </c>
    </row>
    <row r="11">
      <c r="A11" s="13">
        <v>41110.0</v>
      </c>
      <c r="B11" s="1" t="s">
        <v>19</v>
      </c>
      <c r="J11" s="28">
        <f>F62</f>
        <v>50</v>
      </c>
      <c r="L11" s="28">
        <f>G59</f>
        <v>4.43</v>
      </c>
    </row>
    <row r="12">
      <c r="A12" s="14">
        <v>41111.0</v>
      </c>
      <c r="J12" s="28">
        <f>F78</f>
        <v>20</v>
      </c>
      <c r="L12" s="28">
        <f>G67</f>
        <v>57.37</v>
      </c>
    </row>
    <row r="13">
      <c r="A13" s="54">
        <v>41112.0</v>
      </c>
      <c r="J13" s="28">
        <f>F82</f>
        <v>140</v>
      </c>
      <c r="L13" s="28">
        <f>G87</f>
        <v>70</v>
      </c>
    </row>
    <row r="14">
      <c r="J14" s="28">
        <f>F94</f>
        <v>20</v>
      </c>
      <c r="L14" s="28">
        <f>G103</f>
        <v>15.21</v>
      </c>
    </row>
    <row r="15">
      <c r="J15" s="28">
        <f>F106</f>
        <v>2</v>
      </c>
      <c r="L15" s="28">
        <f>G123</f>
        <v>6.24</v>
      </c>
    </row>
    <row r="16">
      <c r="J16" s="28">
        <f>F114</f>
        <v>20</v>
      </c>
      <c r="L16" s="28">
        <f>G155</f>
        <v>3.03</v>
      </c>
    </row>
    <row r="17">
      <c r="J17" s="28">
        <f>F134</f>
        <v>32</v>
      </c>
      <c r="L17" s="28">
        <f>G163</f>
        <v>40</v>
      </c>
      <c r="M17" s="22"/>
    </row>
    <row r="18">
      <c r="J18" s="28">
        <f>F146</f>
        <v>6</v>
      </c>
      <c r="K18" s="9"/>
      <c r="L18" s="28">
        <f>G182</f>
        <v>23.22</v>
      </c>
    </row>
    <row r="19">
      <c r="D19" s="55" t="s">
        <v>66</v>
      </c>
      <c r="J19" s="28">
        <f>F158</f>
        <v>48</v>
      </c>
      <c r="L19" s="28">
        <f>G190</f>
        <v>68</v>
      </c>
    </row>
    <row r="20">
      <c r="D20" s="1" t="s">
        <v>67</v>
      </c>
      <c r="J20" s="28">
        <f>F173</f>
        <v>32</v>
      </c>
      <c r="L20" s="28">
        <f>G27</f>
        <v>6</v>
      </c>
    </row>
    <row r="21">
      <c r="B21" s="36"/>
      <c r="C21" s="36"/>
      <c r="D21" s="56">
        <v>45778.0</v>
      </c>
      <c r="E21" s="36"/>
      <c r="F21" s="36"/>
      <c r="G21" s="36"/>
      <c r="J21" s="28">
        <f>F185</f>
        <v>58</v>
      </c>
    </row>
    <row r="22">
      <c r="B22" s="43">
        <v>2051.0</v>
      </c>
      <c r="C22" s="36"/>
      <c r="D22" s="42" t="s">
        <v>68</v>
      </c>
      <c r="E22" s="36"/>
      <c r="F22" s="57">
        <v>6.0</v>
      </c>
      <c r="G22" s="36"/>
    </row>
    <row r="23">
      <c r="B23" s="36"/>
      <c r="C23" s="4">
        <v>4016.0</v>
      </c>
      <c r="D23" s="58" t="s">
        <v>70</v>
      </c>
      <c r="E23" s="36"/>
      <c r="F23" s="36"/>
      <c r="G23" s="57">
        <v>6.0</v>
      </c>
    </row>
    <row r="24">
      <c r="B24" s="36"/>
      <c r="C24" s="58" t="s">
        <v>71</v>
      </c>
      <c r="D24" s="36"/>
      <c r="E24" s="36"/>
      <c r="F24" s="36"/>
      <c r="G24" s="36"/>
    </row>
    <row r="25">
      <c r="B25" s="36"/>
      <c r="C25" s="36"/>
      <c r="D25" s="56">
        <v>45778.0</v>
      </c>
      <c r="E25" s="36"/>
      <c r="F25" s="36"/>
      <c r="G25" s="36"/>
    </row>
    <row r="26">
      <c r="B26" s="4">
        <v>4016.0</v>
      </c>
      <c r="C26" s="36"/>
      <c r="D26" s="58" t="s">
        <v>70</v>
      </c>
      <c r="E26" s="36"/>
      <c r="F26" s="57">
        <v>6.0</v>
      </c>
      <c r="G26" s="36"/>
    </row>
    <row r="27">
      <c r="B27" s="59"/>
      <c r="C27" s="47">
        <v>512.0</v>
      </c>
      <c r="D27" s="45" t="s">
        <v>29</v>
      </c>
      <c r="E27" s="45"/>
      <c r="F27" s="45"/>
      <c r="G27" s="60">
        <v>6.0</v>
      </c>
    </row>
    <row r="28">
      <c r="B28" s="36"/>
      <c r="C28" s="58" t="s">
        <v>73</v>
      </c>
      <c r="D28" s="35"/>
      <c r="E28" s="36"/>
      <c r="F28" s="36"/>
      <c r="G28" s="35"/>
    </row>
    <row r="29">
      <c r="D29" s="22">
        <v>45779.0</v>
      </c>
      <c r="M29" s="22"/>
    </row>
    <row r="30">
      <c r="B30" s="9">
        <v>41915.0</v>
      </c>
      <c r="D30" s="1" t="s">
        <v>131</v>
      </c>
      <c r="F30" s="1">
        <v>40.0</v>
      </c>
      <c r="K30" s="9"/>
    </row>
    <row r="31">
      <c r="C31" s="1">
        <v>706.0</v>
      </c>
      <c r="D31" s="1" t="s">
        <v>27</v>
      </c>
      <c r="G31" s="1">
        <v>40.0</v>
      </c>
      <c r="J31" s="1" t="s">
        <v>69</v>
      </c>
      <c r="L31" s="1" t="s">
        <v>69</v>
      </c>
      <c r="N31" s="1" t="s">
        <v>69</v>
      </c>
      <c r="O31" s="1" t="s">
        <v>69</v>
      </c>
      <c r="P31" s="1" t="s">
        <v>69</v>
      </c>
      <c r="Q31" s="1" t="s">
        <v>69</v>
      </c>
    </row>
    <row r="32">
      <c r="C32" s="1" t="s">
        <v>132</v>
      </c>
      <c r="J32" s="28">
        <f>SUM(J9:J29)</f>
        <v>588</v>
      </c>
      <c r="L32" s="28">
        <f>SUM(L9:L29)</f>
        <v>450.5</v>
      </c>
      <c r="N32" s="28">
        <f>SUM(N9:N29)</f>
        <v>110</v>
      </c>
      <c r="O32" s="28">
        <f>SUM(O9:O30)</f>
        <v>78.5</v>
      </c>
      <c r="P32" s="28">
        <f t="shared" ref="P32:Q32" si="1">SUM(P9:P29)</f>
        <v>57.37</v>
      </c>
      <c r="Q32" s="28">
        <f t="shared" si="1"/>
        <v>146.5</v>
      </c>
    </row>
    <row r="33">
      <c r="D33" s="22">
        <v>45779.0</v>
      </c>
      <c r="M33" s="22"/>
    </row>
    <row r="34">
      <c r="B34" s="9">
        <v>4115.0</v>
      </c>
      <c r="D34" s="1" t="s">
        <v>133</v>
      </c>
      <c r="F34" s="1">
        <v>100.0</v>
      </c>
    </row>
    <row r="35">
      <c r="C35" s="1">
        <v>706.0</v>
      </c>
      <c r="D35" s="1" t="s">
        <v>27</v>
      </c>
      <c r="G35" s="1">
        <v>100.0</v>
      </c>
      <c r="K35" s="1" t="s">
        <v>69</v>
      </c>
      <c r="L35" s="9"/>
    </row>
    <row r="36">
      <c r="C36" s="1" t="s">
        <v>134</v>
      </c>
      <c r="K36" s="29">
        <f>J32-L32</f>
        <v>137.5</v>
      </c>
    </row>
    <row r="37">
      <c r="D37" s="22">
        <v>45779.0</v>
      </c>
      <c r="M37" s="22"/>
    </row>
    <row r="38">
      <c r="B38" s="25">
        <v>512.0</v>
      </c>
      <c r="C38" s="24"/>
      <c r="D38" s="25" t="s">
        <v>29</v>
      </c>
      <c r="E38" s="24"/>
      <c r="F38" s="25">
        <v>40.0</v>
      </c>
      <c r="G38" s="24"/>
      <c r="T38" s="63"/>
    </row>
    <row r="39">
      <c r="C39" s="9">
        <v>41915.0</v>
      </c>
      <c r="D39" s="1" t="s">
        <v>131</v>
      </c>
      <c r="G39" s="1">
        <v>40.0</v>
      </c>
      <c r="L39" s="11"/>
    </row>
    <row r="40">
      <c r="C40" s="1" t="s">
        <v>75</v>
      </c>
    </row>
    <row r="41">
      <c r="D41" s="22">
        <v>45780.0</v>
      </c>
      <c r="M41" s="22"/>
    </row>
    <row r="42">
      <c r="B42" s="25">
        <v>512.0</v>
      </c>
      <c r="C42" s="24"/>
      <c r="D42" s="25" t="s">
        <v>29</v>
      </c>
      <c r="E42" s="24"/>
      <c r="F42" s="25">
        <v>120.0</v>
      </c>
      <c r="G42" s="24"/>
      <c r="K42" s="68"/>
    </row>
    <row r="43">
      <c r="C43" s="11">
        <v>4118.0</v>
      </c>
      <c r="D43" s="1" t="s">
        <v>106</v>
      </c>
      <c r="G43" s="1">
        <v>120.0</v>
      </c>
    </row>
    <row r="44">
      <c r="C44" s="1" t="s">
        <v>97</v>
      </c>
    </row>
    <row r="45">
      <c r="D45" s="22">
        <v>45780.0</v>
      </c>
      <c r="M45" s="22"/>
    </row>
    <row r="46">
      <c r="B46" s="50">
        <v>4554.0</v>
      </c>
      <c r="D46" s="1" t="s">
        <v>98</v>
      </c>
      <c r="F46" s="1">
        <v>78.5</v>
      </c>
      <c r="I46" s="1" t="s">
        <v>80</v>
      </c>
      <c r="J46" s="63">
        <v>0.15</v>
      </c>
      <c r="K46" s="64"/>
      <c r="L46" s="1" t="s">
        <v>42</v>
      </c>
    </row>
    <row r="47">
      <c r="B47" s="30"/>
      <c r="C47" s="32">
        <v>512.0</v>
      </c>
      <c r="D47" s="32" t="s">
        <v>29</v>
      </c>
      <c r="E47" s="30"/>
      <c r="F47" s="30"/>
      <c r="G47" s="32">
        <v>78.5</v>
      </c>
      <c r="L47" s="28">
        <f>G23</f>
        <v>6</v>
      </c>
    </row>
    <row r="48">
      <c r="C48" s="1" t="s">
        <v>135</v>
      </c>
      <c r="I48" s="1" t="s">
        <v>83</v>
      </c>
      <c r="J48" s="28">
        <f>180-F46-F50</f>
        <v>23</v>
      </c>
      <c r="L48" s="28">
        <f>G59</f>
        <v>4.43</v>
      </c>
    </row>
    <row r="49">
      <c r="D49" s="22">
        <v>45782.0</v>
      </c>
      <c r="J49" s="1">
        <f>67.5-G67</f>
        <v>10.13</v>
      </c>
      <c r="L49" s="28">
        <f>G103</f>
        <v>15.21</v>
      </c>
      <c r="M49" s="22"/>
    </row>
    <row r="50">
      <c r="B50" s="64">
        <v>4553.0</v>
      </c>
      <c r="D50" s="1" t="s">
        <v>136</v>
      </c>
      <c r="F50" s="1">
        <v>78.5</v>
      </c>
      <c r="J50" s="28">
        <f>G95-G103</f>
        <v>4.79</v>
      </c>
      <c r="L50" s="28">
        <f>G123</f>
        <v>6.24</v>
      </c>
    </row>
    <row r="51">
      <c r="B51" s="30"/>
      <c r="C51" s="32">
        <v>512.0</v>
      </c>
      <c r="D51" s="32" t="s">
        <v>29</v>
      </c>
      <c r="E51" s="30"/>
      <c r="F51" s="30"/>
      <c r="G51" s="32">
        <v>78.5</v>
      </c>
      <c r="J51" s="28">
        <f>F169-G190</f>
        <v>22</v>
      </c>
      <c r="L51" s="48">
        <f>G155</f>
        <v>3.03</v>
      </c>
    </row>
    <row r="52">
      <c r="C52" s="1" t="s">
        <v>135</v>
      </c>
      <c r="J52" s="1" t="s">
        <v>69</v>
      </c>
      <c r="L52" s="28">
        <f>G182</f>
        <v>23.22</v>
      </c>
    </row>
    <row r="53">
      <c r="D53" s="22">
        <v>45788.0</v>
      </c>
      <c r="J53" s="28">
        <f>SUM(J48:J51)</f>
        <v>59.92</v>
      </c>
      <c r="L53" s="1" t="s">
        <v>69</v>
      </c>
      <c r="M53" s="22"/>
    </row>
    <row r="54">
      <c r="B54" s="1">
        <v>706.0</v>
      </c>
      <c r="D54" s="1" t="s">
        <v>27</v>
      </c>
      <c r="F54" s="1">
        <v>4.43</v>
      </c>
      <c r="K54" s="48"/>
      <c r="L54" s="28">
        <f>SUM(L47:L52)</f>
        <v>58.13</v>
      </c>
    </row>
    <row r="55">
      <c r="C55" s="48">
        <v>4011.0</v>
      </c>
      <c r="D55" s="1" t="s">
        <v>77</v>
      </c>
      <c r="G55" s="1">
        <v>4.43</v>
      </c>
    </row>
    <row r="56">
      <c r="C56" s="1" t="s">
        <v>78</v>
      </c>
    </row>
    <row r="57">
      <c r="D57" s="22">
        <v>45788.0</v>
      </c>
      <c r="M57" s="22"/>
    </row>
    <row r="58">
      <c r="B58" s="48">
        <v>4011.0</v>
      </c>
      <c r="D58" s="1" t="s">
        <v>77</v>
      </c>
      <c r="F58" s="1">
        <v>4.43</v>
      </c>
    </row>
    <row r="59">
      <c r="B59" s="30"/>
      <c r="C59" s="32">
        <v>512.0</v>
      </c>
      <c r="D59" s="32" t="s">
        <v>29</v>
      </c>
      <c r="E59" s="30"/>
      <c r="F59" s="30"/>
      <c r="G59" s="32">
        <v>4.43</v>
      </c>
      <c r="L59" s="12"/>
    </row>
    <row r="60">
      <c r="C60" s="1" t="s">
        <v>81</v>
      </c>
    </row>
    <row r="61">
      <c r="D61" s="22">
        <v>45788.0</v>
      </c>
      <c r="M61" s="22"/>
    </row>
    <row r="62">
      <c r="B62" s="25">
        <v>512.0</v>
      </c>
      <c r="C62" s="24"/>
      <c r="D62" s="25" t="s">
        <v>29</v>
      </c>
      <c r="E62" s="24"/>
      <c r="F62" s="25">
        <v>50.0</v>
      </c>
      <c r="G62" s="24"/>
      <c r="K62" s="53"/>
    </row>
    <row r="63">
      <c r="C63" s="12">
        <v>4119.0</v>
      </c>
      <c r="D63" s="1" t="s">
        <v>117</v>
      </c>
      <c r="G63" s="1">
        <v>50.0</v>
      </c>
    </row>
    <row r="64">
      <c r="C64" s="1" t="s">
        <v>137</v>
      </c>
    </row>
    <row r="65">
      <c r="D65" s="22">
        <v>45788.0</v>
      </c>
      <c r="M65" s="22"/>
    </row>
    <row r="66">
      <c r="B66" s="53">
        <v>4555.0</v>
      </c>
      <c r="D66" s="1" t="s">
        <v>138</v>
      </c>
      <c r="F66" s="1">
        <v>57.37</v>
      </c>
      <c r="K66" s="2"/>
    </row>
    <row r="67">
      <c r="B67" s="30"/>
      <c r="C67" s="32">
        <v>512.0</v>
      </c>
      <c r="D67" s="32" t="s">
        <v>29</v>
      </c>
      <c r="E67" s="30"/>
      <c r="F67" s="30"/>
      <c r="G67" s="32">
        <v>57.37</v>
      </c>
    </row>
    <row r="68">
      <c r="C68" s="1" t="s">
        <v>139</v>
      </c>
    </row>
    <row r="69">
      <c r="D69" s="22">
        <v>45789.0</v>
      </c>
      <c r="M69" s="22"/>
    </row>
    <row r="70">
      <c r="B70" s="2">
        <v>41911.0</v>
      </c>
      <c r="D70" s="1" t="s">
        <v>140</v>
      </c>
      <c r="F70" s="1">
        <v>20.0</v>
      </c>
      <c r="K70" s="2"/>
    </row>
    <row r="71">
      <c r="C71" s="1">
        <v>706.0</v>
      </c>
      <c r="D71" s="1" t="s">
        <v>27</v>
      </c>
      <c r="G71" s="1">
        <v>20.0</v>
      </c>
    </row>
    <row r="72">
      <c r="C72" s="1" t="s">
        <v>141</v>
      </c>
    </row>
    <row r="73">
      <c r="D73" s="22">
        <v>45789.0</v>
      </c>
      <c r="M73" s="22"/>
    </row>
    <row r="74">
      <c r="B74" s="2">
        <v>4111.0</v>
      </c>
      <c r="D74" s="1" t="s">
        <v>142</v>
      </c>
      <c r="F74" s="1">
        <v>50.0</v>
      </c>
    </row>
    <row r="75">
      <c r="C75" s="1">
        <v>706.0</v>
      </c>
      <c r="D75" s="1" t="s">
        <v>27</v>
      </c>
      <c r="G75" s="1">
        <v>50.0</v>
      </c>
      <c r="L75" s="2"/>
    </row>
    <row r="76">
      <c r="C76" s="1" t="s">
        <v>143</v>
      </c>
    </row>
    <row r="77">
      <c r="D77" s="22">
        <v>45789.0</v>
      </c>
      <c r="M77" s="22"/>
    </row>
    <row r="78">
      <c r="B78" s="25">
        <v>512.0</v>
      </c>
      <c r="C78" s="24"/>
      <c r="D78" s="25" t="s">
        <v>29</v>
      </c>
      <c r="E78" s="24"/>
      <c r="F78" s="25">
        <v>20.0</v>
      </c>
      <c r="G78" s="24"/>
    </row>
    <row r="79">
      <c r="C79" s="2">
        <v>41911.0</v>
      </c>
      <c r="D79" s="1" t="s">
        <v>140</v>
      </c>
      <c r="G79" s="1">
        <v>20.0</v>
      </c>
      <c r="L79" s="13"/>
    </row>
    <row r="80">
      <c r="C80" s="1" t="s">
        <v>75</v>
      </c>
    </row>
    <row r="81">
      <c r="D81" s="22">
        <v>45790.0</v>
      </c>
      <c r="M81" s="22"/>
    </row>
    <row r="82">
      <c r="B82" s="25">
        <v>512.0</v>
      </c>
      <c r="C82" s="24"/>
      <c r="D82" s="25" t="s">
        <v>29</v>
      </c>
      <c r="E82" s="24"/>
      <c r="F82" s="25">
        <v>140.0</v>
      </c>
      <c r="G82" s="24"/>
      <c r="K82" s="6"/>
    </row>
    <row r="83">
      <c r="C83" s="13">
        <v>41110.0</v>
      </c>
      <c r="D83" s="1" t="s">
        <v>110</v>
      </c>
      <c r="G83" s="1">
        <v>140.0</v>
      </c>
    </row>
    <row r="84">
      <c r="C84" s="1" t="s">
        <v>97</v>
      </c>
    </row>
    <row r="85">
      <c r="D85" s="22">
        <v>45790.0</v>
      </c>
      <c r="M85" s="22"/>
    </row>
    <row r="86">
      <c r="B86" s="6">
        <v>4552.0</v>
      </c>
      <c r="D86" s="1" t="s">
        <v>43</v>
      </c>
      <c r="F86" s="1">
        <v>70.0</v>
      </c>
      <c r="K86" s="5"/>
    </row>
    <row r="87">
      <c r="B87" s="30"/>
      <c r="C87" s="32">
        <v>512.0</v>
      </c>
      <c r="D87" s="32" t="s">
        <v>29</v>
      </c>
      <c r="E87" s="30"/>
      <c r="F87" s="30"/>
      <c r="G87" s="32">
        <v>70.0</v>
      </c>
    </row>
    <row r="88">
      <c r="C88" s="1" t="s">
        <v>144</v>
      </c>
    </row>
    <row r="89">
      <c r="D89" s="22">
        <v>45790.0</v>
      </c>
      <c r="M89" s="22"/>
    </row>
    <row r="90">
      <c r="B90" s="5">
        <v>4112.0</v>
      </c>
      <c r="D90" s="1" t="s">
        <v>145</v>
      </c>
      <c r="F90" s="1">
        <v>20.0</v>
      </c>
    </row>
    <row r="91">
      <c r="C91" s="1">
        <v>706.0</v>
      </c>
      <c r="D91" s="1" t="s">
        <v>27</v>
      </c>
      <c r="G91" s="1">
        <v>20.0</v>
      </c>
      <c r="L91" s="5"/>
    </row>
    <row r="92">
      <c r="C92" s="1" t="s">
        <v>146</v>
      </c>
    </row>
    <row r="93">
      <c r="D93" s="22">
        <v>45790.0</v>
      </c>
      <c r="M93" s="22"/>
    </row>
    <row r="94">
      <c r="B94" s="25">
        <v>512.0</v>
      </c>
      <c r="C94" s="24"/>
      <c r="D94" s="25" t="s">
        <v>29</v>
      </c>
      <c r="E94" s="24"/>
      <c r="F94" s="25">
        <v>20.0</v>
      </c>
      <c r="G94" s="24"/>
    </row>
    <row r="95">
      <c r="C95" s="5">
        <v>4112.0</v>
      </c>
      <c r="D95" s="1" t="s">
        <v>145</v>
      </c>
      <c r="G95" s="1">
        <v>20.0</v>
      </c>
      <c r="L95" s="48"/>
    </row>
    <row r="96">
      <c r="C96" s="1" t="s">
        <v>97</v>
      </c>
    </row>
    <row r="97">
      <c r="D97" s="22">
        <v>45790.0</v>
      </c>
      <c r="M97" s="22"/>
    </row>
    <row r="98">
      <c r="B98" s="1">
        <v>606.0</v>
      </c>
      <c r="D98" s="1" t="s">
        <v>27</v>
      </c>
      <c r="F98" s="1">
        <v>15.21</v>
      </c>
      <c r="K98" s="48"/>
    </row>
    <row r="99">
      <c r="C99" s="48">
        <v>4011.0</v>
      </c>
      <c r="D99" s="1" t="s">
        <v>77</v>
      </c>
      <c r="G99" s="1">
        <v>15.21</v>
      </c>
    </row>
    <row r="100">
      <c r="C100" s="1" t="s">
        <v>78</v>
      </c>
    </row>
    <row r="101">
      <c r="D101" s="22">
        <v>45790.0</v>
      </c>
      <c r="M101" s="22"/>
    </row>
    <row r="102">
      <c r="B102" s="48">
        <v>4011.0</v>
      </c>
      <c r="D102" s="1" t="s">
        <v>77</v>
      </c>
      <c r="F102" s="1">
        <v>15.21</v>
      </c>
    </row>
    <row r="103">
      <c r="B103" s="30"/>
      <c r="C103" s="32">
        <v>512.0</v>
      </c>
      <c r="D103" s="32" t="s">
        <v>29</v>
      </c>
      <c r="E103" s="30"/>
      <c r="F103" s="30"/>
      <c r="G103" s="32">
        <v>15.21</v>
      </c>
      <c r="L103" s="66"/>
    </row>
    <row r="104">
      <c r="C104" s="1" t="s">
        <v>147</v>
      </c>
    </row>
    <row r="105">
      <c r="D105" s="22">
        <v>45791.0</v>
      </c>
    </row>
    <row r="106">
      <c r="B106" s="25">
        <v>512.0</v>
      </c>
      <c r="C106" s="24"/>
      <c r="D106" s="25" t="s">
        <v>29</v>
      </c>
      <c r="E106" s="24"/>
      <c r="F106" s="25">
        <v>2.0</v>
      </c>
      <c r="G106" s="24"/>
    </row>
    <row r="107">
      <c r="C107" s="66">
        <v>4557.0</v>
      </c>
      <c r="D107" s="1" t="s">
        <v>148</v>
      </c>
      <c r="G107" s="1">
        <v>2.0</v>
      </c>
    </row>
    <row r="108">
      <c r="C108" s="1" t="s">
        <v>149</v>
      </c>
    </row>
    <row r="109">
      <c r="D109" s="22">
        <v>45791.0</v>
      </c>
    </row>
    <row r="110">
      <c r="B110" s="7">
        <v>4113.0</v>
      </c>
      <c r="D110" s="1" t="s">
        <v>150</v>
      </c>
      <c r="F110" s="1">
        <v>20.0</v>
      </c>
    </row>
    <row r="111">
      <c r="C111" s="1">
        <v>706.0</v>
      </c>
      <c r="D111" s="1" t="s">
        <v>27</v>
      </c>
      <c r="G111" s="1">
        <v>20.0</v>
      </c>
    </row>
    <row r="112">
      <c r="C112" s="1" t="s">
        <v>151</v>
      </c>
    </row>
    <row r="113">
      <c r="D113" s="22">
        <v>45791.0</v>
      </c>
    </row>
    <row r="114">
      <c r="B114" s="25">
        <v>512.0</v>
      </c>
      <c r="C114" s="24"/>
      <c r="D114" s="25" t="s">
        <v>29</v>
      </c>
      <c r="E114" s="24"/>
      <c r="F114" s="25">
        <v>20.0</v>
      </c>
      <c r="G114" s="24"/>
    </row>
    <row r="115">
      <c r="C115" s="7">
        <v>4113.0</v>
      </c>
      <c r="D115" s="1" t="s">
        <v>150</v>
      </c>
      <c r="G115" s="1">
        <v>20.0</v>
      </c>
    </row>
    <row r="116">
      <c r="C116" s="1" t="s">
        <v>152</v>
      </c>
    </row>
    <row r="117">
      <c r="D117" s="22">
        <v>45792.0</v>
      </c>
    </row>
    <row r="118">
      <c r="B118" s="1">
        <v>706.0</v>
      </c>
      <c r="D118" s="1" t="s">
        <v>27</v>
      </c>
      <c r="F118" s="1">
        <v>6.24</v>
      </c>
    </row>
    <row r="119">
      <c r="C119" s="48">
        <v>4011.0</v>
      </c>
      <c r="D119" s="1" t="s">
        <v>77</v>
      </c>
      <c r="G119" s="1">
        <v>6.24</v>
      </c>
    </row>
    <row r="120">
      <c r="C120" s="1" t="s">
        <v>78</v>
      </c>
    </row>
    <row r="121">
      <c r="D121" s="22">
        <v>45792.0</v>
      </c>
    </row>
    <row r="122">
      <c r="B122" s="48">
        <v>4011.0</v>
      </c>
      <c r="D122" s="1" t="s">
        <v>77</v>
      </c>
      <c r="F122" s="1">
        <v>6.24</v>
      </c>
    </row>
    <row r="123">
      <c r="B123" s="30"/>
      <c r="C123" s="69">
        <v>512.0</v>
      </c>
      <c r="D123" s="32" t="s">
        <v>29</v>
      </c>
      <c r="E123" s="30"/>
      <c r="F123" s="30"/>
      <c r="G123" s="32">
        <v>6.24</v>
      </c>
    </row>
    <row r="124">
      <c r="C124" s="1" t="s">
        <v>153</v>
      </c>
    </row>
    <row r="125">
      <c r="D125" s="22">
        <v>45798.0</v>
      </c>
    </row>
    <row r="126">
      <c r="B126" s="8">
        <v>41914.0</v>
      </c>
      <c r="D126" s="1" t="s">
        <v>154</v>
      </c>
      <c r="F126" s="1">
        <v>32.0</v>
      </c>
    </row>
    <row r="127">
      <c r="C127" s="1">
        <v>706.0</v>
      </c>
      <c r="D127" s="1" t="s">
        <v>27</v>
      </c>
      <c r="G127" s="1">
        <v>32.0</v>
      </c>
    </row>
    <row r="128">
      <c r="C128" s="1" t="s">
        <v>155</v>
      </c>
    </row>
    <row r="129">
      <c r="D129" s="22">
        <v>45798.0</v>
      </c>
    </row>
    <row r="130">
      <c r="B130" s="8">
        <v>4114.0</v>
      </c>
      <c r="D130" s="1" t="s">
        <v>156</v>
      </c>
      <c r="F130" s="1">
        <v>80.0</v>
      </c>
    </row>
    <row r="131">
      <c r="C131" s="1">
        <v>706.0</v>
      </c>
      <c r="D131" s="1" t="s">
        <v>27</v>
      </c>
      <c r="G131" s="1">
        <v>80.0</v>
      </c>
    </row>
    <row r="132">
      <c r="C132" s="1" t="s">
        <v>157</v>
      </c>
    </row>
    <row r="133">
      <c r="D133" s="22">
        <v>45798.0</v>
      </c>
    </row>
    <row r="134">
      <c r="B134" s="25">
        <v>512.0</v>
      </c>
      <c r="C134" s="24"/>
      <c r="D134" s="25" t="s">
        <v>29</v>
      </c>
      <c r="E134" s="24"/>
      <c r="F134" s="25">
        <v>32.0</v>
      </c>
      <c r="G134" s="24"/>
    </row>
    <row r="135">
      <c r="C135" s="8">
        <v>41914.0</v>
      </c>
      <c r="D135" s="1" t="s">
        <v>154</v>
      </c>
      <c r="G135" s="1">
        <v>32.0</v>
      </c>
    </row>
    <row r="136">
      <c r="C136" s="1" t="s">
        <v>75</v>
      </c>
    </row>
    <row r="137">
      <c r="D137" s="22">
        <v>45801.0</v>
      </c>
    </row>
    <row r="138">
      <c r="B138" s="4">
        <v>41916.0</v>
      </c>
      <c r="D138" s="1" t="s">
        <v>158</v>
      </c>
      <c r="F138" s="1">
        <v>6.0</v>
      </c>
    </row>
    <row r="139">
      <c r="C139" s="1">
        <v>706.0</v>
      </c>
      <c r="D139" s="1" t="s">
        <v>27</v>
      </c>
      <c r="G139" s="1">
        <v>6.0</v>
      </c>
    </row>
    <row r="140">
      <c r="C140" s="1" t="s">
        <v>159</v>
      </c>
    </row>
    <row r="141">
      <c r="D141" s="22">
        <v>45801.0</v>
      </c>
    </row>
    <row r="142">
      <c r="B142" s="4">
        <v>4116.0</v>
      </c>
      <c r="D142" s="1" t="s">
        <v>160</v>
      </c>
      <c r="F142" s="1">
        <v>15.0</v>
      </c>
    </row>
    <row r="143">
      <c r="C143" s="1">
        <v>706.0</v>
      </c>
      <c r="D143" s="1" t="s">
        <v>27</v>
      </c>
      <c r="G143" s="1">
        <v>15.0</v>
      </c>
    </row>
    <row r="144">
      <c r="C144" s="1" t="s">
        <v>161</v>
      </c>
    </row>
    <row r="145">
      <c r="D145" s="22">
        <v>45801.0</v>
      </c>
    </row>
    <row r="146">
      <c r="B146" s="25">
        <v>512.0</v>
      </c>
      <c r="C146" s="24"/>
      <c r="D146" s="25" t="s">
        <v>29</v>
      </c>
      <c r="E146" s="24"/>
      <c r="F146" s="25">
        <v>6.0</v>
      </c>
      <c r="G146" s="24"/>
    </row>
    <row r="147">
      <c r="C147" s="4">
        <v>41916.0</v>
      </c>
      <c r="D147" s="1" t="s">
        <v>158</v>
      </c>
      <c r="G147" s="1">
        <v>6.0</v>
      </c>
    </row>
    <row r="148">
      <c r="C148" s="1" t="s">
        <v>75</v>
      </c>
    </row>
    <row r="149">
      <c r="D149" s="22">
        <v>45801.0</v>
      </c>
    </row>
    <row r="150">
      <c r="B150" s="1">
        <v>706.0</v>
      </c>
      <c r="D150" s="1" t="s">
        <v>27</v>
      </c>
      <c r="F150" s="1">
        <v>3.03</v>
      </c>
    </row>
    <row r="151">
      <c r="C151" s="65">
        <v>4013.0</v>
      </c>
      <c r="D151" s="1" t="s">
        <v>162</v>
      </c>
      <c r="G151" s="1">
        <v>3.03</v>
      </c>
    </row>
    <row r="152">
      <c r="C152" s="1" t="s">
        <v>163</v>
      </c>
    </row>
    <row r="153">
      <c r="D153" s="22">
        <v>45801.0</v>
      </c>
    </row>
    <row r="154">
      <c r="B154" s="65">
        <v>4013.0</v>
      </c>
      <c r="D154" s="1" t="s">
        <v>162</v>
      </c>
      <c r="F154" s="1">
        <v>3.03</v>
      </c>
    </row>
    <row r="155">
      <c r="B155" s="30"/>
      <c r="C155" s="32">
        <v>512.0</v>
      </c>
      <c r="D155" s="32" t="s">
        <v>29</v>
      </c>
      <c r="E155" s="30"/>
      <c r="F155" s="30"/>
      <c r="G155" s="32">
        <v>3.03</v>
      </c>
    </row>
    <row r="156">
      <c r="C156" s="1" t="s">
        <v>153</v>
      </c>
    </row>
    <row r="157">
      <c r="D157" s="22">
        <v>45802.0</v>
      </c>
    </row>
    <row r="158">
      <c r="B158" s="25">
        <v>512.0</v>
      </c>
      <c r="C158" s="24"/>
      <c r="D158" s="25" t="s">
        <v>29</v>
      </c>
      <c r="E158" s="24"/>
      <c r="F158" s="25">
        <v>48.0</v>
      </c>
      <c r="G158" s="24"/>
    </row>
    <row r="159">
      <c r="C159" s="8">
        <v>4114.0</v>
      </c>
      <c r="D159" s="1" t="s">
        <v>156</v>
      </c>
      <c r="G159" s="1">
        <v>48.0</v>
      </c>
    </row>
    <row r="160">
      <c r="C160" s="1" t="s">
        <v>97</v>
      </c>
    </row>
    <row r="161">
      <c r="D161" s="22">
        <v>45802.0</v>
      </c>
    </row>
    <row r="162">
      <c r="B162" s="6">
        <v>4552.0</v>
      </c>
      <c r="D162" s="1" t="s">
        <v>43</v>
      </c>
      <c r="F162" s="1">
        <v>40.0</v>
      </c>
    </row>
    <row r="163">
      <c r="B163" s="30"/>
      <c r="C163" s="32">
        <v>512.0</v>
      </c>
      <c r="D163" s="32" t="s">
        <v>29</v>
      </c>
      <c r="E163" s="30"/>
      <c r="F163" s="30"/>
      <c r="G163" s="32">
        <v>40.0</v>
      </c>
    </row>
    <row r="164">
      <c r="D164" s="22">
        <v>45806.0</v>
      </c>
    </row>
    <row r="165">
      <c r="B165" s="53">
        <v>41917.0</v>
      </c>
      <c r="D165" s="1" t="s">
        <v>164</v>
      </c>
      <c r="F165" s="1">
        <v>32.0</v>
      </c>
    </row>
    <row r="166">
      <c r="C166" s="1">
        <v>706.0</v>
      </c>
      <c r="D166" s="1" t="s">
        <v>27</v>
      </c>
      <c r="G166" s="1">
        <v>32.0</v>
      </c>
    </row>
    <row r="167">
      <c r="C167" s="1" t="s">
        <v>165</v>
      </c>
    </row>
    <row r="168">
      <c r="D168" s="22">
        <v>45798.0</v>
      </c>
    </row>
    <row r="169">
      <c r="B169" s="53">
        <v>4117.0</v>
      </c>
      <c r="D169" s="1" t="s">
        <v>166</v>
      </c>
      <c r="F169" s="1">
        <v>90.0</v>
      </c>
    </row>
    <row r="170">
      <c r="C170" s="1">
        <v>706.0</v>
      </c>
      <c r="D170" s="1" t="s">
        <v>27</v>
      </c>
      <c r="G170" s="1">
        <v>90.0</v>
      </c>
    </row>
    <row r="171">
      <c r="C171" s="1" t="s">
        <v>167</v>
      </c>
    </row>
    <row r="172">
      <c r="D172" s="22">
        <v>45798.0</v>
      </c>
    </row>
    <row r="173">
      <c r="B173" s="25">
        <v>512.0</v>
      </c>
      <c r="C173" s="24"/>
      <c r="D173" s="25" t="s">
        <v>29</v>
      </c>
      <c r="E173" s="24"/>
      <c r="F173" s="25">
        <v>32.0</v>
      </c>
      <c r="G173" s="24"/>
    </row>
    <row r="174">
      <c r="C174" s="53">
        <v>41917.0</v>
      </c>
      <c r="D174" s="1" t="s">
        <v>164</v>
      </c>
      <c r="G174" s="1">
        <v>32.0</v>
      </c>
    </row>
    <row r="175">
      <c r="C175" s="1" t="s">
        <v>75</v>
      </c>
    </row>
    <row r="176">
      <c r="B176" s="36"/>
      <c r="C176" s="36"/>
      <c r="D176" s="37">
        <v>45807.0</v>
      </c>
      <c r="E176" s="36"/>
      <c r="F176" s="36"/>
      <c r="G176" s="36"/>
    </row>
    <row r="177">
      <c r="B177" s="43">
        <v>2051.0</v>
      </c>
      <c r="C177" s="36"/>
      <c r="D177" s="36" t="s">
        <v>68</v>
      </c>
      <c r="E177" s="36"/>
      <c r="F177" s="43">
        <v>23.22</v>
      </c>
      <c r="G177" s="36"/>
    </row>
    <row r="178">
      <c r="B178" s="36"/>
      <c r="C178" s="70">
        <v>4012.0</v>
      </c>
      <c r="D178" s="36" t="s">
        <v>119</v>
      </c>
      <c r="E178" s="36"/>
      <c r="F178" s="36"/>
      <c r="G178" s="43">
        <v>23.22</v>
      </c>
    </row>
    <row r="179">
      <c r="B179" s="36"/>
      <c r="C179" s="36" t="s">
        <v>120</v>
      </c>
      <c r="D179" s="36"/>
      <c r="E179" s="36"/>
      <c r="F179" s="36"/>
      <c r="G179" s="36"/>
    </row>
    <row r="180">
      <c r="B180" s="36"/>
      <c r="C180" s="36"/>
      <c r="D180" s="37">
        <v>45807.0</v>
      </c>
      <c r="E180" s="36"/>
      <c r="F180" s="36"/>
      <c r="G180" s="36"/>
    </row>
    <row r="181">
      <c r="B181" s="70">
        <v>4012.0</v>
      </c>
      <c r="C181" s="36"/>
      <c r="D181" s="36" t="s">
        <v>119</v>
      </c>
      <c r="E181" s="36"/>
      <c r="F181" s="43">
        <v>23.22</v>
      </c>
      <c r="G181" s="36"/>
    </row>
    <row r="182">
      <c r="B182" s="45"/>
      <c r="C182" s="47">
        <v>512.0</v>
      </c>
      <c r="D182" s="45" t="s">
        <v>29</v>
      </c>
      <c r="E182" s="45"/>
      <c r="F182" s="45"/>
      <c r="G182" s="47">
        <v>23.22</v>
      </c>
    </row>
    <row r="183">
      <c r="B183" s="36"/>
      <c r="C183" s="36" t="s">
        <v>121</v>
      </c>
      <c r="D183" s="36"/>
      <c r="E183" s="36"/>
      <c r="F183" s="36"/>
      <c r="G183" s="36"/>
    </row>
    <row r="184">
      <c r="B184" s="36"/>
      <c r="C184" s="36"/>
      <c r="D184" s="61">
        <v>45807.0</v>
      </c>
      <c r="E184" s="36"/>
      <c r="F184" s="36"/>
      <c r="G184" s="36"/>
    </row>
    <row r="185">
      <c r="B185" s="71">
        <v>512.0</v>
      </c>
      <c r="C185" s="40"/>
      <c r="D185" s="25" t="s">
        <v>29</v>
      </c>
      <c r="E185" s="40"/>
      <c r="F185" s="71">
        <v>58.0</v>
      </c>
      <c r="G185" s="40"/>
    </row>
    <row r="186">
      <c r="B186" s="43"/>
      <c r="C186" s="53">
        <v>4117.0</v>
      </c>
      <c r="D186" s="1" t="s">
        <v>166</v>
      </c>
      <c r="E186" s="36"/>
      <c r="F186" s="43"/>
      <c r="G186" s="58">
        <v>58.0</v>
      </c>
    </row>
    <row r="187">
      <c r="B187" s="36"/>
      <c r="C187" s="72" t="s">
        <v>97</v>
      </c>
      <c r="D187" s="36"/>
      <c r="E187" s="36"/>
      <c r="F187" s="36"/>
      <c r="G187" s="43"/>
    </row>
    <row r="188">
      <c r="B188" s="36"/>
      <c r="C188" s="36"/>
      <c r="D188" s="61">
        <v>45807.0</v>
      </c>
      <c r="E188" s="36"/>
      <c r="F188" s="36"/>
      <c r="G188" s="36"/>
    </row>
    <row r="189">
      <c r="B189" s="64">
        <v>4553.0</v>
      </c>
      <c r="C189" s="36"/>
      <c r="D189" s="73" t="s">
        <v>136</v>
      </c>
      <c r="E189" s="36"/>
      <c r="F189" s="58">
        <v>68.0</v>
      </c>
      <c r="G189" s="36"/>
    </row>
    <row r="190">
      <c r="B190" s="74"/>
      <c r="C190" s="75">
        <v>512.0</v>
      </c>
      <c r="D190" s="75" t="s">
        <v>29</v>
      </c>
      <c r="E190" s="45"/>
      <c r="F190" s="47"/>
      <c r="G190" s="75">
        <v>68.0</v>
      </c>
    </row>
    <row r="191">
      <c r="B191" s="36"/>
      <c r="C191" s="73" t="s">
        <v>168</v>
      </c>
      <c r="D191" s="36"/>
      <c r="E191" s="36"/>
      <c r="F191" s="36"/>
      <c r="G191" s="43"/>
    </row>
    <row r="192">
      <c r="B192" s="36"/>
      <c r="C192" s="36"/>
      <c r="D192" s="36"/>
      <c r="E192" s="36"/>
      <c r="F192" s="36"/>
      <c r="G192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62</v>
      </c>
    </row>
    <row r="2">
      <c r="A2" s="2">
        <v>4111.0</v>
      </c>
      <c r="B2" s="1" t="s">
        <v>122</v>
      </c>
      <c r="D2" s="3">
        <v>4551.0</v>
      </c>
      <c r="E2" s="1" t="s">
        <v>4</v>
      </c>
      <c r="G2" s="48">
        <v>4011.0</v>
      </c>
      <c r="H2" s="1" t="s">
        <v>63</v>
      </c>
    </row>
    <row r="3">
      <c r="A3" s="5">
        <v>4112.0</v>
      </c>
      <c r="B3" s="1" t="s">
        <v>169</v>
      </c>
      <c r="D3" s="6">
        <v>4552.0</v>
      </c>
      <c r="E3" s="1" t="s">
        <v>7</v>
      </c>
      <c r="G3" s="49">
        <v>4012.0</v>
      </c>
      <c r="H3" s="1" t="s">
        <v>64</v>
      </c>
    </row>
    <row r="4">
      <c r="A4" s="7">
        <v>4113.0</v>
      </c>
      <c r="B4" s="1" t="s">
        <v>124</v>
      </c>
      <c r="D4" s="64">
        <v>4553.0</v>
      </c>
      <c r="E4" s="1" t="s">
        <v>9</v>
      </c>
      <c r="G4" s="65">
        <v>4013.0</v>
      </c>
      <c r="H4" s="1" t="s">
        <v>125</v>
      </c>
    </row>
    <row r="5">
      <c r="A5" s="8">
        <v>4114.0</v>
      </c>
      <c r="B5" s="1" t="s">
        <v>170</v>
      </c>
      <c r="D5" s="50">
        <v>4554.0</v>
      </c>
      <c r="E5" s="1" t="s">
        <v>11</v>
      </c>
      <c r="G5" s="54">
        <v>4014.0</v>
      </c>
      <c r="H5" s="1" t="s">
        <v>171</v>
      </c>
    </row>
    <row r="6">
      <c r="A6" s="9">
        <v>4115.0</v>
      </c>
      <c r="B6" s="1" t="s">
        <v>127</v>
      </c>
      <c r="D6" s="53">
        <v>4555.0</v>
      </c>
      <c r="E6" s="1" t="s">
        <v>13</v>
      </c>
      <c r="G6" s="9">
        <v>4015.0</v>
      </c>
      <c r="H6" s="1" t="s">
        <v>172</v>
      </c>
    </row>
    <row r="7">
      <c r="A7" s="4">
        <v>4116.0</v>
      </c>
      <c r="B7" s="1" t="s">
        <v>128</v>
      </c>
      <c r="D7" s="52">
        <v>4556.0</v>
      </c>
      <c r="E7" s="1" t="s">
        <v>173</v>
      </c>
      <c r="G7" s="4">
        <v>4016.0</v>
      </c>
      <c r="H7" s="1" t="s">
        <v>5</v>
      </c>
    </row>
    <row r="8">
      <c r="A8" s="53">
        <v>4117.0</v>
      </c>
      <c r="B8" s="1" t="s">
        <v>129</v>
      </c>
      <c r="D8" s="66">
        <v>4557.0</v>
      </c>
      <c r="E8" s="1" t="s">
        <v>130</v>
      </c>
    </row>
    <row r="9">
      <c r="A9" s="11">
        <v>4118.0</v>
      </c>
      <c r="B9" s="1" t="s">
        <v>174</v>
      </c>
      <c r="L9" s="1" t="s">
        <v>4</v>
      </c>
      <c r="O9" s="1" t="s">
        <v>7</v>
      </c>
      <c r="P9" s="1" t="s">
        <v>11</v>
      </c>
      <c r="Q9" s="1" t="s">
        <v>13</v>
      </c>
      <c r="R9" s="1" t="s">
        <v>9</v>
      </c>
      <c r="S9" s="1" t="s">
        <v>173</v>
      </c>
    </row>
    <row r="10">
      <c r="A10" s="12">
        <v>4119.0</v>
      </c>
      <c r="B10" s="1" t="s">
        <v>18</v>
      </c>
      <c r="L10" s="1">
        <v>512.0</v>
      </c>
      <c r="O10" s="1">
        <v>512.0</v>
      </c>
      <c r="P10" s="1">
        <v>512.0</v>
      </c>
      <c r="Q10" s="1">
        <v>512.0</v>
      </c>
      <c r="R10" s="1">
        <v>512.0</v>
      </c>
      <c r="S10" s="1">
        <v>512.0</v>
      </c>
    </row>
    <row r="11">
      <c r="A11" s="13">
        <v>41110.0</v>
      </c>
      <c r="B11" s="1" t="s">
        <v>175</v>
      </c>
      <c r="K11" s="1" t="s">
        <v>23</v>
      </c>
      <c r="L11" s="15"/>
      <c r="M11" s="1" t="s">
        <v>24</v>
      </c>
      <c r="O11" s="15" t="s">
        <v>23</v>
      </c>
      <c r="P11" s="15" t="s">
        <v>23</v>
      </c>
      <c r="Q11" s="15" t="s">
        <v>23</v>
      </c>
      <c r="R11" s="15" t="s">
        <v>23</v>
      </c>
      <c r="S11" s="1" t="s">
        <v>23</v>
      </c>
    </row>
    <row r="12">
      <c r="A12" s="14">
        <v>41111.0</v>
      </c>
      <c r="B12" s="1" t="s">
        <v>6</v>
      </c>
      <c r="K12" s="28">
        <f>F29</f>
        <v>9</v>
      </c>
      <c r="M12" s="28">
        <f>G34</f>
        <v>7.5</v>
      </c>
      <c r="O12" s="28">
        <f>G34</f>
        <v>7.5</v>
      </c>
      <c r="P12" s="28">
        <f>G150</f>
        <v>170</v>
      </c>
      <c r="Q12" s="28">
        <f>G122</f>
        <v>42.5</v>
      </c>
      <c r="R12" s="28">
        <f>G194</f>
        <v>170</v>
      </c>
      <c r="S12" s="28">
        <f>G74</f>
        <v>7</v>
      </c>
    </row>
    <row r="13">
      <c r="A13" s="54"/>
      <c r="K13" s="28">
        <f>F45</f>
        <v>69.56</v>
      </c>
      <c r="M13" s="28">
        <f>G74</f>
        <v>7</v>
      </c>
      <c r="O13" s="28">
        <f>G94</f>
        <v>90</v>
      </c>
      <c r="S13" s="28">
        <f>G210</f>
        <v>24.29</v>
      </c>
    </row>
    <row r="14">
      <c r="K14" s="28">
        <f>F57</f>
        <v>160</v>
      </c>
      <c r="M14" s="28">
        <f>G94</f>
        <v>90</v>
      </c>
    </row>
    <row r="15">
      <c r="K15" s="28">
        <f>F69</f>
        <v>20</v>
      </c>
      <c r="M15" s="28">
        <f>G122</f>
        <v>42.5</v>
      </c>
    </row>
    <row r="16">
      <c r="K16" s="28">
        <f>F85</f>
        <v>80</v>
      </c>
      <c r="M16" s="28">
        <f>G142</f>
        <v>9.3</v>
      </c>
    </row>
    <row r="17">
      <c r="K17" s="28">
        <f>F89</f>
        <v>107.96</v>
      </c>
      <c r="M17" s="28">
        <f>G150</f>
        <v>170</v>
      </c>
    </row>
    <row r="18">
      <c r="D18" s="55" t="s">
        <v>66</v>
      </c>
      <c r="K18" s="28">
        <f>F105</f>
        <v>168</v>
      </c>
      <c r="M18" s="28">
        <f>G190</f>
        <v>2.75</v>
      </c>
    </row>
    <row r="19">
      <c r="D19" s="1" t="s">
        <v>176</v>
      </c>
      <c r="K19" s="28">
        <f>F113</f>
        <v>40</v>
      </c>
      <c r="M19" s="28">
        <f>G194</f>
        <v>170</v>
      </c>
    </row>
    <row r="20">
      <c r="D20" s="22">
        <v>45809.0</v>
      </c>
      <c r="M20" s="28">
        <f>G26</f>
        <v>6</v>
      </c>
    </row>
    <row r="21">
      <c r="B21" s="43">
        <v>2051.0</v>
      </c>
      <c r="C21" s="36"/>
      <c r="D21" s="42" t="s">
        <v>68</v>
      </c>
      <c r="E21" s="36"/>
      <c r="F21" s="57">
        <v>6.0</v>
      </c>
      <c r="G21" s="36"/>
    </row>
    <row r="22">
      <c r="B22" s="36"/>
      <c r="C22" s="4">
        <v>4016.0</v>
      </c>
      <c r="D22" s="58" t="s">
        <v>70</v>
      </c>
      <c r="E22" s="36"/>
      <c r="F22" s="36"/>
      <c r="G22" s="57">
        <v>6.0</v>
      </c>
    </row>
    <row r="23">
      <c r="B23" s="36"/>
      <c r="C23" s="58" t="s">
        <v>71</v>
      </c>
      <c r="D23" s="36"/>
      <c r="E23" s="36"/>
      <c r="F23" s="36"/>
      <c r="G23" s="36"/>
    </row>
    <row r="24">
      <c r="B24" s="36"/>
      <c r="C24" s="36"/>
      <c r="D24" s="22">
        <v>45809.0</v>
      </c>
      <c r="E24" s="36"/>
      <c r="F24" s="36"/>
      <c r="G24" s="36"/>
    </row>
    <row r="25">
      <c r="B25" s="4">
        <v>4016.0</v>
      </c>
      <c r="C25" s="36"/>
      <c r="D25" s="58" t="s">
        <v>70</v>
      </c>
      <c r="E25" s="36"/>
      <c r="F25" s="57">
        <v>6.0</v>
      </c>
      <c r="G25" s="36"/>
    </row>
    <row r="26">
      <c r="B26" s="59"/>
      <c r="C26" s="47">
        <v>512.0</v>
      </c>
      <c r="D26" s="45" t="s">
        <v>29</v>
      </c>
      <c r="E26" s="45"/>
      <c r="F26" s="45"/>
      <c r="G26" s="60">
        <v>6.0</v>
      </c>
    </row>
    <row r="27">
      <c r="B27" s="36"/>
      <c r="C27" s="58" t="s">
        <v>73</v>
      </c>
      <c r="D27" s="35"/>
      <c r="E27" s="36"/>
      <c r="F27" s="36"/>
      <c r="G27" s="35"/>
    </row>
    <row r="28">
      <c r="D28" s="22">
        <v>45810.0</v>
      </c>
      <c r="K28" s="28">
        <f>F117</f>
        <v>30</v>
      </c>
      <c r="M28" s="28">
        <f>G202</f>
        <v>2.75</v>
      </c>
    </row>
    <row r="29">
      <c r="B29" s="25">
        <v>512.0</v>
      </c>
      <c r="C29" s="24"/>
      <c r="D29" s="25" t="s">
        <v>29</v>
      </c>
      <c r="E29" s="24"/>
      <c r="F29" s="25">
        <v>9.0</v>
      </c>
      <c r="G29" s="24"/>
      <c r="K29" s="28">
        <f>F133</f>
        <v>33.06</v>
      </c>
      <c r="M29" s="28">
        <f>G210</f>
        <v>24.29</v>
      </c>
    </row>
    <row r="30">
      <c r="C30" s="4">
        <v>4116.0</v>
      </c>
      <c r="D30" s="1" t="s">
        <v>160</v>
      </c>
      <c r="G30" s="1">
        <v>9.0</v>
      </c>
      <c r="K30" s="28">
        <f>F145</f>
        <v>240</v>
      </c>
      <c r="M30" s="28">
        <f>G218</f>
        <v>22.29</v>
      </c>
    </row>
    <row r="31">
      <c r="C31" s="1" t="s">
        <v>97</v>
      </c>
      <c r="K31" s="28">
        <f>F161</f>
        <v>30</v>
      </c>
    </row>
    <row r="32">
      <c r="D32" s="22">
        <v>45810.0</v>
      </c>
      <c r="K32" s="28">
        <f>F165</f>
        <v>20</v>
      </c>
    </row>
    <row r="33">
      <c r="B33" s="6">
        <v>4552.0</v>
      </c>
      <c r="D33" s="1" t="s">
        <v>43</v>
      </c>
      <c r="F33" s="1">
        <v>7.5</v>
      </c>
      <c r="K33" s="28">
        <f>F173</f>
        <v>24</v>
      </c>
    </row>
    <row r="34">
      <c r="B34" s="30"/>
      <c r="C34" s="32">
        <v>512.0</v>
      </c>
      <c r="D34" s="32" t="s">
        <v>29</v>
      </c>
      <c r="E34" s="30"/>
      <c r="F34" s="30"/>
      <c r="G34" s="32">
        <v>7.5</v>
      </c>
      <c r="K34" s="28">
        <f>F181</f>
        <v>90</v>
      </c>
    </row>
    <row r="35">
      <c r="C35" s="1" t="s">
        <v>177</v>
      </c>
      <c r="K35" s="28">
        <f>F205</f>
        <v>32.66</v>
      </c>
    </row>
    <row r="36">
      <c r="D36" s="22">
        <v>45810.0</v>
      </c>
      <c r="K36" s="1" t="s">
        <v>69</v>
      </c>
      <c r="M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</row>
    <row r="37">
      <c r="B37" s="5">
        <v>41912.0</v>
      </c>
      <c r="D37" s="1" t="s">
        <v>178</v>
      </c>
      <c r="F37" s="1">
        <v>69.56</v>
      </c>
      <c r="K37" s="28">
        <f>SUM(K12:K35)</f>
        <v>1154.24</v>
      </c>
      <c r="M37" s="28">
        <f>SUM(M12:M35)</f>
        <v>554.38</v>
      </c>
      <c r="O37" s="28">
        <f t="shared" ref="O37:S37" si="1">SUM(O12:O13)</f>
        <v>97.5</v>
      </c>
      <c r="P37" s="28">
        <f t="shared" si="1"/>
        <v>170</v>
      </c>
      <c r="Q37" s="28">
        <f t="shared" si="1"/>
        <v>42.5</v>
      </c>
      <c r="R37" s="28">
        <f t="shared" si="1"/>
        <v>170</v>
      </c>
      <c r="S37" s="28">
        <f t="shared" si="1"/>
        <v>31.29</v>
      </c>
    </row>
    <row r="38">
      <c r="C38" s="1">
        <v>706.0</v>
      </c>
      <c r="D38" s="1" t="s">
        <v>27</v>
      </c>
      <c r="G38" s="1">
        <v>69.56</v>
      </c>
      <c r="L38" s="1" t="s">
        <v>69</v>
      </c>
    </row>
    <row r="39">
      <c r="C39" s="1" t="s">
        <v>179</v>
      </c>
      <c r="L39" s="29">
        <f>K37-M37</f>
        <v>599.86</v>
      </c>
    </row>
    <row r="40">
      <c r="D40" s="22">
        <v>45810.0</v>
      </c>
    </row>
    <row r="41">
      <c r="B41" s="5">
        <v>4112.0</v>
      </c>
      <c r="D41" s="1" t="s">
        <v>180</v>
      </c>
      <c r="F41" s="1">
        <v>177.52</v>
      </c>
    </row>
    <row r="42">
      <c r="C42" s="1">
        <v>706.0</v>
      </c>
      <c r="D42" s="1" t="s">
        <v>27</v>
      </c>
      <c r="G42" s="1">
        <v>177.52</v>
      </c>
      <c r="J42" s="1" t="s">
        <v>80</v>
      </c>
      <c r="K42" s="63">
        <v>0.15</v>
      </c>
      <c r="M42" s="1" t="s">
        <v>42</v>
      </c>
    </row>
    <row r="43">
      <c r="C43" s="1" t="s">
        <v>181</v>
      </c>
      <c r="M43" s="28">
        <f>G26</f>
        <v>6</v>
      </c>
    </row>
    <row r="44">
      <c r="D44" s="22">
        <v>45810.0</v>
      </c>
      <c r="J44" s="1" t="s">
        <v>83</v>
      </c>
      <c r="K44" s="28">
        <f>400-G150-G194</f>
        <v>60</v>
      </c>
      <c r="M44" s="28">
        <f>G142</f>
        <v>9.3</v>
      </c>
    </row>
    <row r="45">
      <c r="B45" s="25">
        <v>512.0</v>
      </c>
      <c r="C45" s="24"/>
      <c r="D45" s="25" t="s">
        <v>29</v>
      </c>
      <c r="E45" s="24"/>
      <c r="F45" s="25">
        <v>69.56</v>
      </c>
      <c r="G45" s="24"/>
      <c r="K45" s="28">
        <f>50-G122</f>
        <v>7.5</v>
      </c>
      <c r="M45" s="28">
        <f>G190</f>
        <v>2.75</v>
      </c>
    </row>
    <row r="46">
      <c r="C46" s="5">
        <v>41912.0</v>
      </c>
      <c r="D46" s="1" t="s">
        <v>178</v>
      </c>
      <c r="G46" s="1">
        <v>69.56</v>
      </c>
      <c r="M46" s="28">
        <f>G202</f>
        <v>2.75</v>
      </c>
    </row>
    <row r="47">
      <c r="C47" s="1" t="s">
        <v>75</v>
      </c>
      <c r="M47" s="28">
        <f>G218</f>
        <v>22.29</v>
      </c>
    </row>
    <row r="48">
      <c r="D48" s="22">
        <v>45810.0</v>
      </c>
      <c r="J48" s="1" t="s">
        <v>69</v>
      </c>
      <c r="K48" s="28">
        <f>SUM(K44:K45)</f>
        <v>67.5</v>
      </c>
      <c r="M48" s="1" t="s">
        <v>69</v>
      </c>
    </row>
    <row r="49">
      <c r="B49" s="53">
        <v>41917.0</v>
      </c>
      <c r="D49" s="1" t="s">
        <v>164</v>
      </c>
      <c r="F49" s="1">
        <v>160.0</v>
      </c>
      <c r="M49" s="28">
        <f>SUM(M43:M47)</f>
        <v>43.09</v>
      </c>
    </row>
    <row r="50">
      <c r="C50" s="1">
        <v>706.0</v>
      </c>
      <c r="D50" s="1" t="s">
        <v>27</v>
      </c>
      <c r="G50" s="1">
        <v>160.0</v>
      </c>
    </row>
    <row r="51">
      <c r="C51" s="1" t="s">
        <v>182</v>
      </c>
    </row>
    <row r="52">
      <c r="D52" s="22">
        <v>45810.0</v>
      </c>
    </row>
    <row r="53" ht="17.25" customHeight="1">
      <c r="B53" s="53">
        <v>4117.0</v>
      </c>
      <c r="D53" s="1" t="s">
        <v>166</v>
      </c>
      <c r="F53" s="1">
        <v>400.0</v>
      </c>
    </row>
    <row r="54">
      <c r="C54" s="1">
        <v>706.0</v>
      </c>
      <c r="D54" s="1" t="s">
        <v>27</v>
      </c>
      <c r="G54" s="1">
        <v>400.0</v>
      </c>
    </row>
    <row r="55">
      <c r="C55" s="1" t="s">
        <v>183</v>
      </c>
    </row>
    <row r="56">
      <c r="D56" s="22">
        <v>45810.0</v>
      </c>
    </row>
    <row r="57">
      <c r="B57" s="25">
        <v>512.0</v>
      </c>
      <c r="C57" s="24"/>
      <c r="D57" s="25" t="s">
        <v>29</v>
      </c>
      <c r="E57" s="24"/>
      <c r="F57" s="25">
        <v>160.0</v>
      </c>
      <c r="G57" s="24"/>
    </row>
    <row r="58">
      <c r="C58" s="53">
        <v>41917.0</v>
      </c>
      <c r="D58" s="1" t="s">
        <v>164</v>
      </c>
      <c r="G58" s="1">
        <v>160.0</v>
      </c>
    </row>
    <row r="59">
      <c r="C59" s="1" t="s">
        <v>75</v>
      </c>
    </row>
    <row r="60">
      <c r="D60" s="22">
        <v>45812.0</v>
      </c>
    </row>
    <row r="61">
      <c r="B61" s="8">
        <v>41914.0</v>
      </c>
      <c r="D61" s="1" t="s">
        <v>184</v>
      </c>
      <c r="F61" s="1">
        <v>20.0</v>
      </c>
    </row>
    <row r="62">
      <c r="C62" s="1">
        <v>706.0</v>
      </c>
      <c r="D62" s="1" t="s">
        <v>27</v>
      </c>
      <c r="G62" s="1">
        <v>20.0</v>
      </c>
    </row>
    <row r="63">
      <c r="C63" s="1" t="s">
        <v>185</v>
      </c>
    </row>
    <row r="64">
      <c r="D64" s="22">
        <v>45812.0</v>
      </c>
    </row>
    <row r="65">
      <c r="B65" s="8">
        <v>4114.0</v>
      </c>
      <c r="D65" s="1" t="s">
        <v>186</v>
      </c>
      <c r="F65" s="1">
        <v>50.0</v>
      </c>
    </row>
    <row r="66">
      <c r="C66" s="1">
        <v>706.0</v>
      </c>
      <c r="D66" s="1" t="s">
        <v>27</v>
      </c>
      <c r="G66" s="1">
        <v>50.0</v>
      </c>
    </row>
    <row r="67">
      <c r="C67" s="1" t="s">
        <v>187</v>
      </c>
    </row>
    <row r="68">
      <c r="D68" s="22">
        <v>45812.0</v>
      </c>
    </row>
    <row r="69">
      <c r="B69" s="25">
        <v>512.0</v>
      </c>
      <c r="C69" s="24"/>
      <c r="D69" s="25" t="s">
        <v>29</v>
      </c>
      <c r="E69" s="24"/>
      <c r="F69" s="25">
        <v>20.0</v>
      </c>
      <c r="G69" s="24"/>
    </row>
    <row r="70">
      <c r="C70" s="8">
        <v>41914.0</v>
      </c>
      <c r="D70" s="1" t="s">
        <v>184</v>
      </c>
      <c r="G70" s="1">
        <v>20.0</v>
      </c>
    </row>
    <row r="71">
      <c r="C71" s="1" t="s">
        <v>75</v>
      </c>
    </row>
    <row r="72">
      <c r="B72" s="52"/>
      <c r="D72" s="22">
        <v>45812.0</v>
      </c>
    </row>
    <row r="73">
      <c r="B73" s="52">
        <v>4556.0</v>
      </c>
      <c r="D73" s="1" t="s">
        <v>188</v>
      </c>
      <c r="F73" s="1">
        <v>7.0</v>
      </c>
    </row>
    <row r="74">
      <c r="B74" s="30"/>
      <c r="C74" s="32">
        <v>512.0</v>
      </c>
      <c r="D74" s="32" t="s">
        <v>29</v>
      </c>
      <c r="E74" s="30"/>
      <c r="F74" s="30"/>
      <c r="G74" s="32">
        <v>7.0</v>
      </c>
    </row>
    <row r="75">
      <c r="C75" s="1" t="s">
        <v>189</v>
      </c>
    </row>
    <row r="76">
      <c r="D76" s="22">
        <v>45813.0</v>
      </c>
    </row>
    <row r="77">
      <c r="B77" s="11">
        <v>41918.0</v>
      </c>
      <c r="D77" s="1" t="s">
        <v>190</v>
      </c>
      <c r="F77" s="1">
        <v>80.0</v>
      </c>
    </row>
    <row r="78">
      <c r="C78" s="1">
        <v>706.0</v>
      </c>
      <c r="D78" s="1" t="s">
        <v>27</v>
      </c>
      <c r="G78" s="1">
        <v>80.0</v>
      </c>
    </row>
    <row r="79">
      <c r="C79" s="1" t="s">
        <v>191</v>
      </c>
    </row>
    <row r="80">
      <c r="D80" s="22">
        <v>45813.0</v>
      </c>
    </row>
    <row r="81">
      <c r="B81" s="11">
        <v>4118.0</v>
      </c>
      <c r="D81" s="1" t="s">
        <v>192</v>
      </c>
      <c r="F81" s="1">
        <v>280.0</v>
      </c>
    </row>
    <row r="82">
      <c r="C82" s="1">
        <v>706.0</v>
      </c>
      <c r="D82" s="1" t="s">
        <v>27</v>
      </c>
      <c r="G82" s="1">
        <v>280.0</v>
      </c>
    </row>
    <row r="83">
      <c r="C83" s="1" t="s">
        <v>193</v>
      </c>
    </row>
    <row r="84">
      <c r="D84" s="22">
        <v>45813.0</v>
      </c>
    </row>
    <row r="85">
      <c r="B85" s="25">
        <v>512.0</v>
      </c>
      <c r="C85" s="24"/>
      <c r="D85" s="25" t="s">
        <v>29</v>
      </c>
      <c r="E85" s="24"/>
      <c r="F85" s="25">
        <v>80.0</v>
      </c>
      <c r="G85" s="24"/>
    </row>
    <row r="86">
      <c r="C86" s="11">
        <v>41918.0</v>
      </c>
      <c r="D86" s="1" t="s">
        <v>190</v>
      </c>
      <c r="G86" s="1">
        <v>80.0</v>
      </c>
    </row>
    <row r="87">
      <c r="C87" s="1" t="s">
        <v>194</v>
      </c>
    </row>
    <row r="88">
      <c r="D88" s="22">
        <v>45814.0</v>
      </c>
    </row>
    <row r="89">
      <c r="B89" s="25">
        <v>512.0</v>
      </c>
      <c r="C89" s="24"/>
      <c r="D89" s="25" t="s">
        <v>29</v>
      </c>
      <c r="E89" s="24"/>
      <c r="F89" s="25">
        <v>107.96</v>
      </c>
      <c r="G89" s="24"/>
    </row>
    <row r="90">
      <c r="C90" s="5">
        <v>4112.0</v>
      </c>
      <c r="D90" s="1" t="s">
        <v>180</v>
      </c>
      <c r="G90" s="1">
        <v>107.96</v>
      </c>
    </row>
    <row r="91">
      <c r="C91" s="1" t="s">
        <v>97</v>
      </c>
    </row>
    <row r="92">
      <c r="D92" s="22">
        <v>45814.0</v>
      </c>
    </row>
    <row r="93">
      <c r="B93" s="6">
        <v>4552.0</v>
      </c>
      <c r="D93" s="1" t="s">
        <v>43</v>
      </c>
      <c r="F93" s="1">
        <v>90.0</v>
      </c>
    </row>
    <row r="94">
      <c r="B94" s="30"/>
      <c r="C94" s="32">
        <v>512.0</v>
      </c>
      <c r="D94" s="32" t="s">
        <v>29</v>
      </c>
      <c r="E94" s="30"/>
      <c r="F94" s="30"/>
      <c r="G94" s="32">
        <v>90.0</v>
      </c>
    </row>
    <row r="95">
      <c r="C95" s="1" t="s">
        <v>195</v>
      </c>
    </row>
    <row r="96">
      <c r="D96" s="22">
        <v>45821.0</v>
      </c>
    </row>
    <row r="97">
      <c r="B97" s="13">
        <v>419110.0</v>
      </c>
      <c r="D97" s="1" t="s">
        <v>196</v>
      </c>
      <c r="F97" s="1">
        <v>168.0</v>
      </c>
    </row>
    <row r="98">
      <c r="C98" s="1">
        <v>706.0</v>
      </c>
      <c r="D98" s="1" t="s">
        <v>27</v>
      </c>
      <c r="G98" s="1">
        <v>168.0</v>
      </c>
    </row>
    <row r="99">
      <c r="C99" s="1" t="s">
        <v>197</v>
      </c>
    </row>
    <row r="100">
      <c r="D100" s="22">
        <v>45821.0</v>
      </c>
    </row>
    <row r="101">
      <c r="B101" s="13">
        <v>41110.0</v>
      </c>
      <c r="D101" s="1" t="s">
        <v>198</v>
      </c>
      <c r="F101" s="1">
        <v>420.0</v>
      </c>
    </row>
    <row r="102">
      <c r="C102" s="1">
        <v>706.0</v>
      </c>
      <c r="D102" s="1" t="s">
        <v>27</v>
      </c>
      <c r="G102" s="1">
        <v>420.0</v>
      </c>
    </row>
    <row r="103">
      <c r="C103" s="1" t="s">
        <v>199</v>
      </c>
    </row>
    <row r="104">
      <c r="D104" s="22">
        <v>45821.0</v>
      </c>
    </row>
    <row r="105">
      <c r="B105" s="25">
        <v>512.0</v>
      </c>
      <c r="C105" s="24"/>
      <c r="D105" s="25" t="s">
        <v>29</v>
      </c>
      <c r="E105" s="24"/>
      <c r="F105" s="25">
        <v>168.0</v>
      </c>
      <c r="G105" s="24"/>
    </row>
    <row r="106">
      <c r="C106" s="13">
        <v>419110.0</v>
      </c>
      <c r="D106" s="1" t="s">
        <v>196</v>
      </c>
      <c r="G106" s="1">
        <v>168.0</v>
      </c>
    </row>
    <row r="107">
      <c r="C107" s="1" t="s">
        <v>75</v>
      </c>
    </row>
    <row r="108">
      <c r="D108" s="22">
        <v>45821.0</v>
      </c>
    </row>
    <row r="109">
      <c r="B109" s="9">
        <v>4115.0</v>
      </c>
      <c r="D109" s="1" t="s">
        <v>131</v>
      </c>
      <c r="F109" s="1">
        <v>40.0</v>
      </c>
    </row>
    <row r="110">
      <c r="C110" s="1">
        <v>706.0</v>
      </c>
      <c r="D110" s="1" t="s">
        <v>27</v>
      </c>
      <c r="G110" s="1">
        <v>40.0</v>
      </c>
    </row>
    <row r="111">
      <c r="C111" s="1" t="s">
        <v>200</v>
      </c>
    </row>
    <row r="112">
      <c r="D112" s="22">
        <v>45821.0</v>
      </c>
    </row>
    <row r="113">
      <c r="B113" s="25">
        <v>512.0</v>
      </c>
      <c r="C113" s="76"/>
      <c r="D113" s="25" t="s">
        <v>29</v>
      </c>
      <c r="E113" s="24"/>
      <c r="F113" s="25">
        <v>40.0</v>
      </c>
      <c r="G113" s="24"/>
    </row>
    <row r="114">
      <c r="C114" s="9">
        <v>4115.0</v>
      </c>
      <c r="D114" s="1" t="s">
        <v>131</v>
      </c>
      <c r="G114" s="1">
        <v>40.0</v>
      </c>
    </row>
    <row r="115">
      <c r="C115" s="1" t="s">
        <v>75</v>
      </c>
    </row>
    <row r="116">
      <c r="D116" s="22">
        <v>45823.0</v>
      </c>
    </row>
    <row r="117">
      <c r="B117" s="25">
        <v>512.0</v>
      </c>
      <c r="C117" s="24"/>
      <c r="D117" s="25" t="s">
        <v>29</v>
      </c>
      <c r="E117" s="24"/>
      <c r="F117" s="25">
        <v>30.0</v>
      </c>
      <c r="G117" s="24"/>
    </row>
    <row r="118">
      <c r="C118" s="2">
        <v>4111.0</v>
      </c>
      <c r="D118" s="1" t="s">
        <v>122</v>
      </c>
      <c r="G118" s="1">
        <v>30.0</v>
      </c>
    </row>
    <row r="119">
      <c r="C119" s="1" t="s">
        <v>97</v>
      </c>
    </row>
    <row r="120">
      <c r="D120" s="22">
        <v>45823.0</v>
      </c>
    </row>
    <row r="121">
      <c r="B121" s="53">
        <v>4555.0</v>
      </c>
      <c r="D121" s="1" t="s">
        <v>138</v>
      </c>
      <c r="F121" s="1">
        <v>42.5</v>
      </c>
    </row>
    <row r="122">
      <c r="B122" s="30"/>
      <c r="C122" s="32">
        <v>512.0</v>
      </c>
      <c r="D122" s="32">
        <v>512.0</v>
      </c>
      <c r="E122" s="30"/>
      <c r="F122" s="30"/>
      <c r="G122" s="32">
        <v>42.5</v>
      </c>
    </row>
    <row r="123">
      <c r="C123" s="1" t="s">
        <v>201</v>
      </c>
    </row>
    <row r="124">
      <c r="D124" s="22">
        <v>45824.0</v>
      </c>
    </row>
    <row r="125">
      <c r="B125" s="14">
        <v>419111.0</v>
      </c>
      <c r="D125" s="1" t="s">
        <v>47</v>
      </c>
      <c r="F125" s="1">
        <v>33.06</v>
      </c>
    </row>
    <row r="126">
      <c r="C126" s="1">
        <v>706.0</v>
      </c>
      <c r="D126" s="1" t="s">
        <v>27</v>
      </c>
      <c r="G126" s="1">
        <v>33.06</v>
      </c>
    </row>
    <row r="127">
      <c r="C127" s="1" t="s">
        <v>202</v>
      </c>
    </row>
    <row r="128">
      <c r="D128" s="22">
        <v>45824.0</v>
      </c>
    </row>
    <row r="129">
      <c r="B129" s="14">
        <v>41111.0</v>
      </c>
      <c r="D129" s="1" t="s">
        <v>50</v>
      </c>
      <c r="F129" s="1">
        <v>65.72</v>
      </c>
    </row>
    <row r="130">
      <c r="C130" s="1">
        <v>706.0</v>
      </c>
      <c r="D130" s="1" t="s">
        <v>27</v>
      </c>
      <c r="G130" s="1">
        <v>65.72</v>
      </c>
    </row>
    <row r="131">
      <c r="C131" s="1" t="s">
        <v>203</v>
      </c>
    </row>
    <row r="132">
      <c r="D132" s="22">
        <v>45824.0</v>
      </c>
    </row>
    <row r="133">
      <c r="B133" s="25">
        <v>512.0</v>
      </c>
      <c r="C133" s="24"/>
      <c r="D133" s="25" t="s">
        <v>29</v>
      </c>
      <c r="E133" s="24"/>
      <c r="F133" s="25">
        <v>33.06</v>
      </c>
      <c r="G133" s="24"/>
    </row>
    <row r="134">
      <c r="C134" s="14">
        <v>419111.0</v>
      </c>
      <c r="D134" s="1" t="s">
        <v>47</v>
      </c>
      <c r="G134" s="1">
        <v>33.06</v>
      </c>
    </row>
    <row r="135">
      <c r="C135" s="1" t="s">
        <v>75</v>
      </c>
    </row>
    <row r="136">
      <c r="D136" s="22">
        <v>45825.0</v>
      </c>
    </row>
    <row r="137">
      <c r="B137" s="1">
        <v>606.0</v>
      </c>
      <c r="D137" s="1" t="s">
        <v>27</v>
      </c>
      <c r="F137" s="1">
        <v>9.3</v>
      </c>
    </row>
    <row r="138">
      <c r="C138" s="54">
        <v>4014.0</v>
      </c>
      <c r="D138" s="1" t="s">
        <v>204</v>
      </c>
      <c r="G138" s="1">
        <v>9.3</v>
      </c>
    </row>
    <row r="139">
      <c r="C139" s="1" t="s">
        <v>205</v>
      </c>
    </row>
    <row r="140">
      <c r="D140" s="22">
        <v>45825.0</v>
      </c>
    </row>
    <row r="141">
      <c r="B141" s="54">
        <v>4014.0</v>
      </c>
      <c r="D141" s="1" t="s">
        <v>204</v>
      </c>
      <c r="F141" s="1">
        <v>9.3</v>
      </c>
    </row>
    <row r="142">
      <c r="B142" s="30"/>
      <c r="C142" s="32">
        <v>512.0</v>
      </c>
      <c r="D142" s="32" t="s">
        <v>29</v>
      </c>
      <c r="E142" s="30"/>
      <c r="F142" s="30"/>
      <c r="G142" s="32">
        <v>9.3</v>
      </c>
    </row>
    <row r="143">
      <c r="C143" s="1" t="s">
        <v>206</v>
      </c>
    </row>
    <row r="144">
      <c r="D144" s="22">
        <v>45825.0</v>
      </c>
    </row>
    <row r="145">
      <c r="B145" s="25">
        <v>512.0</v>
      </c>
      <c r="C145" s="24"/>
      <c r="D145" s="25" t="s">
        <v>29</v>
      </c>
      <c r="E145" s="24"/>
      <c r="F145" s="25">
        <v>240.0</v>
      </c>
      <c r="G145" s="24"/>
    </row>
    <row r="146">
      <c r="C146" s="53">
        <v>4117.0</v>
      </c>
      <c r="D146" s="1" t="s">
        <v>207</v>
      </c>
      <c r="G146" s="1">
        <v>240.0</v>
      </c>
    </row>
    <row r="147">
      <c r="C147" s="1" t="s">
        <v>97</v>
      </c>
    </row>
    <row r="148">
      <c r="D148" s="22">
        <v>45825.0</v>
      </c>
      <c r="N148" s="22"/>
    </row>
    <row r="149">
      <c r="B149" s="50">
        <v>4554.0</v>
      </c>
      <c r="D149" s="1" t="s">
        <v>98</v>
      </c>
      <c r="F149" s="1">
        <v>170.0</v>
      </c>
      <c r="L149" s="53"/>
    </row>
    <row r="150">
      <c r="B150" s="30"/>
      <c r="C150" s="32">
        <v>512.0</v>
      </c>
      <c r="D150" s="32" t="s">
        <v>29</v>
      </c>
      <c r="E150" s="30"/>
      <c r="F150" s="30"/>
      <c r="G150" s="32">
        <v>170.0</v>
      </c>
    </row>
    <row r="151">
      <c r="C151" s="1" t="s">
        <v>208</v>
      </c>
    </row>
    <row r="152">
      <c r="D152" s="22">
        <v>45827.0</v>
      </c>
    </row>
    <row r="153">
      <c r="B153" s="53">
        <v>4197.0</v>
      </c>
      <c r="D153" s="1" t="s">
        <v>164</v>
      </c>
      <c r="F153" s="1">
        <v>30.0</v>
      </c>
    </row>
    <row r="154">
      <c r="C154" s="1">
        <v>706.0</v>
      </c>
      <c r="D154" s="1" t="s">
        <v>27</v>
      </c>
      <c r="G154" s="1">
        <v>30.0</v>
      </c>
    </row>
    <row r="155">
      <c r="C155" s="1" t="s">
        <v>209</v>
      </c>
    </row>
    <row r="156">
      <c r="C156" s="1"/>
      <c r="D156" s="22">
        <v>45827.0</v>
      </c>
      <c r="N156" s="22"/>
    </row>
    <row r="157">
      <c r="B157" s="53">
        <v>4117.0</v>
      </c>
      <c r="D157" s="1" t="s">
        <v>166</v>
      </c>
      <c r="F157" s="1">
        <v>50.0</v>
      </c>
    </row>
    <row r="158">
      <c r="C158" s="1">
        <v>706.0</v>
      </c>
      <c r="D158" s="1" t="s">
        <v>27</v>
      </c>
      <c r="G158" s="1">
        <v>50.0</v>
      </c>
    </row>
    <row r="159">
      <c r="C159" s="1" t="s">
        <v>210</v>
      </c>
    </row>
    <row r="160">
      <c r="D160" s="22">
        <v>45827.0</v>
      </c>
    </row>
    <row r="161">
      <c r="B161" s="25">
        <v>512.0</v>
      </c>
      <c r="C161" s="24"/>
      <c r="D161" s="25" t="s">
        <v>29</v>
      </c>
      <c r="E161" s="24"/>
      <c r="F161" s="25">
        <v>30.0</v>
      </c>
      <c r="G161" s="24"/>
    </row>
    <row r="162">
      <c r="C162" s="53">
        <v>4197.0</v>
      </c>
      <c r="D162" s="1" t="s">
        <v>47</v>
      </c>
      <c r="G162" s="1">
        <v>30.0</v>
      </c>
    </row>
    <row r="163">
      <c r="C163" s="1" t="s">
        <v>75</v>
      </c>
    </row>
    <row r="164">
      <c r="D164" s="22">
        <v>45828.0</v>
      </c>
    </row>
    <row r="165">
      <c r="B165" s="25">
        <v>512.0</v>
      </c>
      <c r="C165" s="24"/>
      <c r="D165" s="25" t="s">
        <v>29</v>
      </c>
      <c r="E165" s="24"/>
      <c r="F165" s="25">
        <v>20.0</v>
      </c>
      <c r="G165" s="24"/>
      <c r="N165" s="22"/>
    </row>
    <row r="166">
      <c r="C166" s="53">
        <v>4197.0</v>
      </c>
      <c r="D166" s="1" t="s">
        <v>164</v>
      </c>
      <c r="G166" s="1">
        <v>20.0</v>
      </c>
    </row>
    <row r="167">
      <c r="C167" s="1" t="s">
        <v>97</v>
      </c>
      <c r="M167" s="53"/>
    </row>
    <row r="168">
      <c r="D168" s="22">
        <v>45831.0</v>
      </c>
    </row>
    <row r="169">
      <c r="B169" s="12">
        <v>4119.0</v>
      </c>
      <c r="D169" s="1" t="s">
        <v>117</v>
      </c>
      <c r="F169" s="1">
        <v>74.0</v>
      </c>
    </row>
    <row r="170">
      <c r="C170" s="1">
        <v>706.0</v>
      </c>
      <c r="D170" s="1" t="s">
        <v>27</v>
      </c>
      <c r="G170" s="1">
        <v>74.0</v>
      </c>
    </row>
    <row r="171">
      <c r="C171" s="1" t="s">
        <v>211</v>
      </c>
    </row>
    <row r="172">
      <c r="D172" s="22">
        <v>45828.0</v>
      </c>
    </row>
    <row r="173">
      <c r="B173" s="25">
        <v>512.0</v>
      </c>
      <c r="C173" s="24"/>
      <c r="D173" s="25" t="s">
        <v>29</v>
      </c>
      <c r="E173" s="24"/>
      <c r="F173" s="25">
        <v>24.0</v>
      </c>
      <c r="G173" s="24"/>
    </row>
    <row r="174">
      <c r="C174" s="12">
        <v>4199.0</v>
      </c>
      <c r="D174" s="1" t="s">
        <v>115</v>
      </c>
      <c r="G174" s="1">
        <v>24.0</v>
      </c>
    </row>
    <row r="175">
      <c r="C175" s="1" t="s">
        <v>97</v>
      </c>
    </row>
    <row r="176">
      <c r="D176" s="22">
        <v>45833.0</v>
      </c>
    </row>
    <row r="177">
      <c r="B177" s="11">
        <v>41918.0</v>
      </c>
      <c r="D177" s="1" t="s">
        <v>190</v>
      </c>
      <c r="F177" s="1">
        <v>90.0</v>
      </c>
    </row>
    <row r="178">
      <c r="C178" s="1">
        <v>706.0</v>
      </c>
      <c r="D178" s="1" t="s">
        <v>27</v>
      </c>
      <c r="G178" s="1">
        <v>90.0</v>
      </c>
    </row>
    <row r="179">
      <c r="C179" s="1" t="s">
        <v>191</v>
      </c>
    </row>
    <row r="180">
      <c r="D180" s="22">
        <v>45833.0</v>
      </c>
    </row>
    <row r="181">
      <c r="B181" s="25">
        <v>512.0</v>
      </c>
      <c r="C181" s="24"/>
      <c r="D181" s="25" t="s">
        <v>29</v>
      </c>
      <c r="E181" s="24"/>
      <c r="F181" s="25">
        <v>90.0</v>
      </c>
      <c r="G181" s="24"/>
    </row>
    <row r="182">
      <c r="C182" s="11">
        <v>41918.0</v>
      </c>
      <c r="D182" s="1" t="s">
        <v>190</v>
      </c>
      <c r="G182" s="1">
        <v>90.0</v>
      </c>
    </row>
    <row r="183">
      <c r="C183" s="1" t="s">
        <v>212</v>
      </c>
    </row>
    <row r="184">
      <c r="D184" s="22">
        <v>45835.0</v>
      </c>
    </row>
    <row r="185">
      <c r="B185" s="1">
        <v>606.0</v>
      </c>
      <c r="D185" s="1" t="s">
        <v>27</v>
      </c>
      <c r="F185" s="1">
        <v>2.75</v>
      </c>
    </row>
    <row r="186">
      <c r="C186" s="9">
        <v>4015.0</v>
      </c>
      <c r="D186" s="1" t="s">
        <v>213</v>
      </c>
      <c r="G186" s="1">
        <v>2.75</v>
      </c>
    </row>
    <row r="187">
      <c r="C187" s="1" t="s">
        <v>214</v>
      </c>
    </row>
    <row r="188">
      <c r="D188" s="22">
        <v>45835.0</v>
      </c>
    </row>
    <row r="189">
      <c r="B189" s="9">
        <v>4015.0</v>
      </c>
      <c r="D189" s="1" t="s">
        <v>213</v>
      </c>
      <c r="F189" s="1">
        <v>2.75</v>
      </c>
    </row>
    <row r="190">
      <c r="B190" s="30"/>
      <c r="C190" s="32">
        <v>512.0</v>
      </c>
      <c r="D190" s="32" t="s">
        <v>29</v>
      </c>
      <c r="E190" s="30"/>
      <c r="F190" s="30"/>
      <c r="G190" s="32">
        <v>2.75</v>
      </c>
    </row>
    <row r="191">
      <c r="C191" s="1" t="s">
        <v>206</v>
      </c>
    </row>
    <row r="192">
      <c r="D192" s="22">
        <v>45835.0</v>
      </c>
    </row>
    <row r="193">
      <c r="B193" s="64">
        <v>4553.0</v>
      </c>
      <c r="D193" s="1" t="s">
        <v>136</v>
      </c>
      <c r="F193" s="1">
        <v>170.0</v>
      </c>
    </row>
    <row r="194">
      <c r="B194" s="30"/>
      <c r="C194" s="32">
        <v>512.0</v>
      </c>
      <c r="D194" s="32" t="s">
        <v>29</v>
      </c>
      <c r="E194" s="30"/>
      <c r="F194" s="30"/>
      <c r="G194" s="32">
        <v>170.0</v>
      </c>
    </row>
    <row r="195">
      <c r="C195" s="1" t="s">
        <v>215</v>
      </c>
    </row>
    <row r="196">
      <c r="D196" s="22">
        <v>45836.0</v>
      </c>
    </row>
    <row r="197">
      <c r="B197" s="1">
        <v>606.0</v>
      </c>
      <c r="D197" s="1" t="s">
        <v>27</v>
      </c>
      <c r="F197" s="1">
        <v>2.75</v>
      </c>
    </row>
    <row r="198">
      <c r="C198" s="9">
        <v>4015.0</v>
      </c>
      <c r="D198" s="1" t="s">
        <v>213</v>
      </c>
      <c r="G198" s="1">
        <v>2.75</v>
      </c>
    </row>
    <row r="199">
      <c r="C199" s="1" t="s">
        <v>214</v>
      </c>
    </row>
    <row r="200">
      <c r="D200" s="22">
        <v>45836.0</v>
      </c>
    </row>
    <row r="201">
      <c r="B201" s="9">
        <v>4015.0</v>
      </c>
      <c r="D201" s="1" t="s">
        <v>213</v>
      </c>
      <c r="F201" s="1">
        <v>2.75</v>
      </c>
    </row>
    <row r="202">
      <c r="B202" s="30"/>
      <c r="C202" s="32">
        <v>512.0</v>
      </c>
      <c r="D202" s="32" t="s">
        <v>29</v>
      </c>
      <c r="E202" s="30"/>
      <c r="F202" s="30"/>
      <c r="G202" s="32">
        <v>2.75</v>
      </c>
    </row>
    <row r="203">
      <c r="C203" s="1" t="s">
        <v>206</v>
      </c>
    </row>
    <row r="204">
      <c r="D204" s="22">
        <v>45836.0</v>
      </c>
    </row>
    <row r="205">
      <c r="B205" s="25">
        <v>512.0</v>
      </c>
      <c r="C205" s="24"/>
      <c r="D205" s="25" t="s">
        <v>29</v>
      </c>
      <c r="E205" s="24"/>
      <c r="F205" s="25">
        <v>32.66</v>
      </c>
      <c r="G205" s="24"/>
    </row>
    <row r="206">
      <c r="C206" s="14">
        <v>41111.0</v>
      </c>
      <c r="D206" s="1" t="s">
        <v>47</v>
      </c>
      <c r="G206" s="1">
        <v>32.66</v>
      </c>
    </row>
    <row r="207">
      <c r="C207" s="1" t="s">
        <v>97</v>
      </c>
    </row>
    <row r="208">
      <c r="D208" s="22">
        <v>45837.0</v>
      </c>
    </row>
    <row r="209">
      <c r="B209" s="52">
        <v>4556.0</v>
      </c>
      <c r="D209" s="1" t="s">
        <v>188</v>
      </c>
      <c r="F209" s="1">
        <v>24.29</v>
      </c>
    </row>
    <row r="210">
      <c r="B210" s="30"/>
      <c r="C210" s="32">
        <v>512.0</v>
      </c>
      <c r="D210" s="32" t="s">
        <v>29</v>
      </c>
      <c r="E210" s="30"/>
      <c r="F210" s="30"/>
      <c r="G210" s="32">
        <v>24.29</v>
      </c>
    </row>
    <row r="211">
      <c r="C211" s="1" t="s">
        <v>216</v>
      </c>
    </row>
    <row r="212">
      <c r="B212" s="36"/>
      <c r="C212" s="36"/>
      <c r="D212" s="56">
        <v>45838.0</v>
      </c>
      <c r="E212" s="36"/>
      <c r="F212" s="36"/>
      <c r="G212" s="36"/>
    </row>
    <row r="213">
      <c r="B213" s="43">
        <v>2051.0</v>
      </c>
      <c r="C213" s="36"/>
      <c r="D213" s="36" t="s">
        <v>68</v>
      </c>
      <c r="E213" s="36"/>
      <c r="F213" s="57">
        <v>22.29</v>
      </c>
      <c r="G213" s="36"/>
    </row>
    <row r="214">
      <c r="B214" s="36"/>
      <c r="C214" s="70">
        <v>4012.0</v>
      </c>
      <c r="D214" s="36" t="s">
        <v>119</v>
      </c>
      <c r="E214" s="36"/>
      <c r="F214" s="36"/>
      <c r="G214" s="57">
        <v>22.29</v>
      </c>
    </row>
    <row r="215">
      <c r="B215" s="36"/>
      <c r="C215" s="36" t="s">
        <v>120</v>
      </c>
      <c r="D215" s="36"/>
      <c r="E215" s="36"/>
      <c r="F215" s="36"/>
      <c r="G215" s="36"/>
    </row>
    <row r="216">
      <c r="B216" s="36"/>
      <c r="C216" s="36"/>
      <c r="D216" s="37">
        <v>45807.0</v>
      </c>
      <c r="E216" s="36"/>
      <c r="F216" s="36"/>
      <c r="G216" s="36"/>
    </row>
    <row r="217">
      <c r="B217" s="70">
        <v>4012.0</v>
      </c>
      <c r="C217" s="36"/>
      <c r="D217" s="36" t="s">
        <v>119</v>
      </c>
      <c r="E217" s="36"/>
      <c r="F217" s="57">
        <v>22.29</v>
      </c>
      <c r="G217" s="36"/>
    </row>
    <row r="218">
      <c r="B218" s="45"/>
      <c r="C218" s="47">
        <v>512.0</v>
      </c>
      <c r="D218" s="45" t="s">
        <v>29</v>
      </c>
      <c r="E218" s="45"/>
      <c r="F218" s="45"/>
      <c r="G218" s="60">
        <v>22.29</v>
      </c>
    </row>
    <row r="219">
      <c r="B219" s="36"/>
      <c r="C219" s="36" t="s">
        <v>121</v>
      </c>
      <c r="D219" s="36"/>
      <c r="E219" s="36"/>
      <c r="F219" s="36"/>
      <c r="G219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62</v>
      </c>
    </row>
    <row r="2">
      <c r="A2" s="2">
        <v>4111.0</v>
      </c>
      <c r="B2" s="1" t="s">
        <v>122</v>
      </c>
      <c r="D2" s="3">
        <v>4551.0</v>
      </c>
      <c r="E2" s="1" t="s">
        <v>4</v>
      </c>
      <c r="G2" s="9">
        <v>4011.0</v>
      </c>
      <c r="H2" s="1" t="s">
        <v>172</v>
      </c>
    </row>
    <row r="3">
      <c r="A3" s="5">
        <v>4112.0</v>
      </c>
      <c r="B3" s="1" t="s">
        <v>169</v>
      </c>
      <c r="D3" s="6">
        <v>4552.0</v>
      </c>
      <c r="E3" s="1" t="s">
        <v>7</v>
      </c>
      <c r="G3" s="49">
        <v>4012.0</v>
      </c>
      <c r="H3" s="1" t="s">
        <v>64</v>
      </c>
    </row>
    <row r="4">
      <c r="A4" s="7">
        <v>4113.0</v>
      </c>
      <c r="B4" s="1" t="s">
        <v>124</v>
      </c>
      <c r="D4" s="53">
        <v>4555.0</v>
      </c>
      <c r="E4" s="1" t="s">
        <v>13</v>
      </c>
      <c r="G4" s="65">
        <v>4013.0</v>
      </c>
      <c r="H4" s="1" t="s">
        <v>149</v>
      </c>
    </row>
    <row r="5">
      <c r="A5" s="8">
        <v>4114.0</v>
      </c>
      <c r="B5" s="1" t="s">
        <v>217</v>
      </c>
      <c r="D5" s="52">
        <v>4556.0</v>
      </c>
      <c r="E5" s="1" t="s">
        <v>173</v>
      </c>
      <c r="G5" s="4">
        <v>4016.0</v>
      </c>
      <c r="H5" s="1" t="s">
        <v>5</v>
      </c>
    </row>
    <row r="6">
      <c r="A6" s="9">
        <v>4115.0</v>
      </c>
      <c r="B6" s="1" t="s">
        <v>127</v>
      </c>
      <c r="D6" s="50">
        <v>4554.0</v>
      </c>
      <c r="E6" s="1" t="s">
        <v>11</v>
      </c>
      <c r="G6" s="2">
        <v>4017.0</v>
      </c>
      <c r="H6" s="1" t="s">
        <v>218</v>
      </c>
    </row>
    <row r="7">
      <c r="A7" s="4">
        <v>4116.0</v>
      </c>
      <c r="B7" s="1" t="s">
        <v>219</v>
      </c>
      <c r="D7" s="77">
        <v>4553.0</v>
      </c>
      <c r="E7" s="1" t="s">
        <v>220</v>
      </c>
    </row>
    <row r="8">
      <c r="A8" s="53">
        <v>4117.0</v>
      </c>
      <c r="B8" s="1" t="s">
        <v>129</v>
      </c>
      <c r="D8" s="66">
        <v>4557.0</v>
      </c>
      <c r="E8" s="1" t="s">
        <v>221</v>
      </c>
      <c r="M8" s="1" t="s">
        <v>4</v>
      </c>
      <c r="P8" s="1" t="s">
        <v>7</v>
      </c>
      <c r="Q8" s="1" t="s">
        <v>220</v>
      </c>
      <c r="R8" s="1" t="s">
        <v>13</v>
      </c>
      <c r="S8" s="1" t="s">
        <v>221</v>
      </c>
      <c r="T8" s="1" t="s">
        <v>11</v>
      </c>
    </row>
    <row r="9">
      <c r="A9" s="11">
        <v>4118.0</v>
      </c>
      <c r="B9" s="1" t="s">
        <v>174</v>
      </c>
      <c r="M9" s="1">
        <v>512.0</v>
      </c>
      <c r="P9" s="1">
        <v>512.0</v>
      </c>
      <c r="Q9" s="1">
        <v>512.0</v>
      </c>
      <c r="R9" s="1">
        <v>512.0</v>
      </c>
      <c r="S9" s="1">
        <v>512.0</v>
      </c>
      <c r="T9" s="1">
        <v>512.0</v>
      </c>
    </row>
    <row r="10">
      <c r="A10" s="12">
        <v>4119.0</v>
      </c>
      <c r="B10" s="1" t="s">
        <v>18</v>
      </c>
      <c r="L10" s="1" t="s">
        <v>23</v>
      </c>
      <c r="M10" s="15"/>
      <c r="N10" s="1" t="s">
        <v>24</v>
      </c>
      <c r="P10" s="15" t="s">
        <v>23</v>
      </c>
      <c r="Q10" s="15" t="s">
        <v>23</v>
      </c>
      <c r="R10" s="15" t="s">
        <v>23</v>
      </c>
      <c r="S10" s="15" t="s">
        <v>23</v>
      </c>
      <c r="T10" s="15" t="s">
        <v>23</v>
      </c>
    </row>
    <row r="11">
      <c r="A11" s="13">
        <v>41110.0</v>
      </c>
      <c r="B11" s="1" t="s">
        <v>175</v>
      </c>
      <c r="L11" s="28">
        <f>H44</f>
        <v>45</v>
      </c>
      <c r="N11" s="28">
        <f>I33</f>
        <v>11</v>
      </c>
      <c r="P11" s="28">
        <f>I101</f>
        <v>140</v>
      </c>
      <c r="Q11" s="28">
        <f>I113</f>
        <v>148.5</v>
      </c>
      <c r="S11" s="28">
        <f>I117</f>
        <v>168</v>
      </c>
      <c r="T11" s="28">
        <f>I109</f>
        <v>15</v>
      </c>
    </row>
    <row r="12">
      <c r="A12" s="14">
        <v>41111.0</v>
      </c>
      <c r="B12" s="1" t="s">
        <v>6</v>
      </c>
      <c r="L12" s="28">
        <f>H48</f>
        <v>40</v>
      </c>
      <c r="N12" s="28">
        <f>I69</f>
        <v>4.46</v>
      </c>
      <c r="P12" s="28">
        <f>I125</f>
        <v>32.63</v>
      </c>
    </row>
    <row r="13">
      <c r="A13" s="54"/>
      <c r="L13" s="28">
        <f>H60</f>
        <v>32.51</v>
      </c>
      <c r="N13" s="28">
        <f>I101</f>
        <v>140</v>
      </c>
    </row>
    <row r="14">
      <c r="L14" s="28">
        <f>H80</f>
        <v>270</v>
      </c>
      <c r="N14" s="28">
        <f>I109</f>
        <v>15</v>
      </c>
    </row>
    <row r="15">
      <c r="L15" s="28">
        <f>H84</f>
        <v>110</v>
      </c>
      <c r="N15" s="28">
        <f>I113</f>
        <v>148.5</v>
      </c>
    </row>
    <row r="16">
      <c r="L16" s="28">
        <f>H96</f>
        <v>66.57</v>
      </c>
      <c r="N16" s="28">
        <f>I117</f>
        <v>168</v>
      </c>
    </row>
    <row r="17">
      <c r="F17" s="55" t="s">
        <v>66</v>
      </c>
      <c r="L17" s="28">
        <f>H104</f>
        <v>252</v>
      </c>
      <c r="N17" s="28">
        <f>I125</f>
        <v>32.63</v>
      </c>
    </row>
    <row r="18">
      <c r="F18" s="1" t="s">
        <v>222</v>
      </c>
      <c r="L18" s="28">
        <f>H120</f>
        <v>32.76</v>
      </c>
      <c r="N18" s="28">
        <f>I133</f>
        <v>6.7</v>
      </c>
    </row>
    <row r="19">
      <c r="F19" s="22">
        <v>45839.0</v>
      </c>
      <c r="L19" s="28">
        <f>H172</f>
        <v>46.26</v>
      </c>
      <c r="N19" s="28">
        <f>I25</f>
        <v>6</v>
      </c>
    </row>
    <row r="20">
      <c r="D20" s="43">
        <v>2051.0</v>
      </c>
      <c r="E20" s="36"/>
      <c r="F20" s="42" t="s">
        <v>68</v>
      </c>
      <c r="G20" s="36"/>
      <c r="H20" s="57">
        <v>6.0</v>
      </c>
      <c r="I20" s="36"/>
      <c r="N20" s="28">
        <f>I181</f>
        <v>5</v>
      </c>
    </row>
    <row r="21">
      <c r="D21" s="36"/>
      <c r="E21" s="4">
        <v>4016.0</v>
      </c>
      <c r="F21" s="58" t="s">
        <v>70</v>
      </c>
      <c r="G21" s="36"/>
      <c r="H21" s="36"/>
      <c r="I21" s="57">
        <v>6.0</v>
      </c>
      <c r="N21" s="28">
        <f>I189</f>
        <v>40</v>
      </c>
    </row>
    <row r="22">
      <c r="D22" s="36"/>
      <c r="E22" s="58" t="s">
        <v>71</v>
      </c>
      <c r="F22" s="36"/>
      <c r="G22" s="36"/>
      <c r="H22" s="36"/>
      <c r="I22" s="36"/>
      <c r="N22" s="28">
        <f>I197</f>
        <v>11.8</v>
      </c>
    </row>
    <row r="23">
      <c r="D23" s="36"/>
      <c r="E23" s="36"/>
      <c r="F23" s="22">
        <v>45839.0</v>
      </c>
      <c r="G23" s="36"/>
      <c r="H23" s="36"/>
      <c r="I23" s="36"/>
      <c r="N23" s="28">
        <f>I205</f>
        <v>22.61</v>
      </c>
    </row>
    <row r="24">
      <c r="D24" s="4">
        <v>4016.0</v>
      </c>
      <c r="E24" s="36"/>
      <c r="F24" s="58" t="s">
        <v>70</v>
      </c>
      <c r="G24" s="36"/>
      <c r="H24" s="57">
        <v>6.0</v>
      </c>
      <c r="I24" s="36"/>
    </row>
    <row r="25">
      <c r="D25" s="59"/>
      <c r="E25" s="47">
        <v>512.0</v>
      </c>
      <c r="F25" s="45" t="s">
        <v>29</v>
      </c>
      <c r="G25" s="45"/>
      <c r="H25" s="45"/>
      <c r="I25" s="60">
        <v>6.0</v>
      </c>
    </row>
    <row r="26">
      <c r="D26" s="36"/>
      <c r="E26" s="58" t="s">
        <v>73</v>
      </c>
      <c r="F26" s="35"/>
      <c r="G26" s="36"/>
      <c r="H26" s="36"/>
      <c r="I26" s="35"/>
    </row>
    <row r="27">
      <c r="F27" s="22">
        <v>45839.0</v>
      </c>
      <c r="L27" s="28">
        <f>H144</f>
        <v>72</v>
      </c>
      <c r="N27" s="28">
        <f>I153</f>
        <v>5</v>
      </c>
    </row>
    <row r="28">
      <c r="D28" s="1">
        <v>606.0</v>
      </c>
      <c r="F28" s="1" t="s">
        <v>27</v>
      </c>
      <c r="H28" s="1">
        <v>11.0</v>
      </c>
      <c r="N28" s="28">
        <f>I161</f>
        <v>10</v>
      </c>
    </row>
    <row r="29">
      <c r="E29" s="9">
        <v>4015.0</v>
      </c>
      <c r="F29" s="1" t="s">
        <v>213</v>
      </c>
      <c r="I29" s="1">
        <v>11.0</v>
      </c>
    </row>
    <row r="30">
      <c r="E30" s="1" t="s">
        <v>223</v>
      </c>
      <c r="L30" s="1" t="s">
        <v>69</v>
      </c>
      <c r="N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</row>
    <row r="31">
      <c r="F31" s="22">
        <v>45836.0</v>
      </c>
      <c r="L31" s="28">
        <f>SUM(L11:L27)</f>
        <v>967.1</v>
      </c>
      <c r="N31" s="28">
        <f>SUM(N11:N29)</f>
        <v>626.7</v>
      </c>
      <c r="P31" s="28">
        <f t="shared" ref="P31:T31" si="1">SUM(P11:P27)</f>
        <v>172.63</v>
      </c>
      <c r="Q31" s="28">
        <f t="shared" si="1"/>
        <v>148.5</v>
      </c>
      <c r="R31" s="28">
        <f t="shared" si="1"/>
        <v>0</v>
      </c>
      <c r="S31" s="28">
        <f t="shared" si="1"/>
        <v>168</v>
      </c>
      <c r="T31" s="28">
        <f t="shared" si="1"/>
        <v>15</v>
      </c>
    </row>
    <row r="32">
      <c r="D32" s="9">
        <v>4015.0</v>
      </c>
      <c r="F32" s="1" t="s">
        <v>213</v>
      </c>
      <c r="H32" s="1">
        <v>11.0</v>
      </c>
      <c r="M32" s="1" t="s">
        <v>69</v>
      </c>
    </row>
    <row r="33">
      <c r="D33" s="30"/>
      <c r="E33" s="32">
        <v>512.0</v>
      </c>
      <c r="F33" s="32" t="s">
        <v>29</v>
      </c>
      <c r="G33" s="30"/>
      <c r="H33" s="30"/>
      <c r="I33" s="32">
        <v>11.0</v>
      </c>
      <c r="M33" s="29">
        <f>L31-N31</f>
        <v>340.4</v>
      </c>
    </row>
    <row r="34">
      <c r="E34" s="1" t="s">
        <v>206</v>
      </c>
    </row>
    <row r="35">
      <c r="F35" s="22">
        <v>45839.0</v>
      </c>
    </row>
    <row r="36">
      <c r="D36" s="53">
        <v>4197.0</v>
      </c>
      <c r="F36" s="1" t="s">
        <v>164</v>
      </c>
      <c r="H36" s="1">
        <v>45.0</v>
      </c>
    </row>
    <row r="37">
      <c r="E37" s="1">
        <v>706.0</v>
      </c>
      <c r="F37" s="1" t="s">
        <v>27</v>
      </c>
      <c r="I37" s="1">
        <v>45.0</v>
      </c>
    </row>
    <row r="38">
      <c r="E38" s="1" t="s">
        <v>224</v>
      </c>
    </row>
    <row r="39">
      <c r="E39" s="1"/>
      <c r="F39" s="22">
        <v>45839.0</v>
      </c>
    </row>
    <row r="40">
      <c r="D40" s="53">
        <v>4117.0</v>
      </c>
      <c r="F40" s="1" t="s">
        <v>166</v>
      </c>
      <c r="H40" s="1">
        <f>45+47.6</f>
        <v>92.6</v>
      </c>
    </row>
    <row r="41">
      <c r="E41" s="1">
        <v>706.0</v>
      </c>
      <c r="F41" s="1" t="s">
        <v>27</v>
      </c>
      <c r="I41" s="1">
        <f>45+47.6</f>
        <v>92.6</v>
      </c>
    </row>
    <row r="42">
      <c r="E42" s="1" t="s">
        <v>225</v>
      </c>
      <c r="L42" s="1" t="s">
        <v>80</v>
      </c>
      <c r="M42" s="78">
        <v>0.15</v>
      </c>
      <c r="O42" s="1" t="s">
        <v>42</v>
      </c>
    </row>
    <row r="43">
      <c r="F43" s="22">
        <v>45839.0</v>
      </c>
      <c r="O43" s="1">
        <f>I21</f>
        <v>6</v>
      </c>
    </row>
    <row r="44">
      <c r="D44" s="25">
        <v>512.0</v>
      </c>
      <c r="E44" s="24"/>
      <c r="F44" s="25" t="s">
        <v>29</v>
      </c>
      <c r="G44" s="24"/>
      <c r="H44" s="25">
        <v>45.0</v>
      </c>
      <c r="I44" s="24"/>
      <c r="L44" s="1" t="s">
        <v>83</v>
      </c>
      <c r="M44" s="28">
        <f>420-I109-H112-H116-30</f>
        <v>58.5</v>
      </c>
      <c r="O44" s="28">
        <f>I69</f>
        <v>4.46</v>
      </c>
    </row>
    <row r="45">
      <c r="E45" s="53">
        <v>4197.0</v>
      </c>
      <c r="F45" s="1" t="s">
        <v>164</v>
      </c>
      <c r="I45" s="1">
        <v>45.0</v>
      </c>
      <c r="O45" s="28">
        <f>I133</f>
        <v>6.7</v>
      </c>
    </row>
    <row r="46">
      <c r="E46" s="1" t="s">
        <v>75</v>
      </c>
      <c r="O46" s="28">
        <f>I153</f>
        <v>5</v>
      </c>
    </row>
    <row r="47">
      <c r="F47" s="22">
        <v>45840.0</v>
      </c>
      <c r="O47" s="28">
        <f>I161</f>
        <v>10</v>
      </c>
    </row>
    <row r="48">
      <c r="D48" s="25">
        <v>512.0</v>
      </c>
      <c r="E48" s="24"/>
      <c r="F48" s="25" t="s">
        <v>29</v>
      </c>
      <c r="G48" s="24"/>
      <c r="H48" s="25">
        <v>40.0</v>
      </c>
      <c r="I48" s="24"/>
      <c r="L48" s="1" t="s">
        <v>69</v>
      </c>
      <c r="M48" s="28">
        <f>SUM(M44:M47)</f>
        <v>58.5</v>
      </c>
      <c r="O48" s="28">
        <f>I181</f>
        <v>5</v>
      </c>
    </row>
    <row r="49">
      <c r="E49" s="9">
        <v>4115.0</v>
      </c>
      <c r="F49" s="1" t="s">
        <v>131</v>
      </c>
      <c r="I49" s="1">
        <v>40.0</v>
      </c>
      <c r="O49" s="28">
        <f>I189</f>
        <v>40</v>
      </c>
    </row>
    <row r="50">
      <c r="E50" s="1" t="s">
        <v>97</v>
      </c>
      <c r="O50" s="28">
        <f>I197</f>
        <v>11.8</v>
      </c>
    </row>
    <row r="51">
      <c r="F51" s="22">
        <v>45841.0</v>
      </c>
      <c r="O51" s="28">
        <f>I205</f>
        <v>22.61</v>
      </c>
    </row>
    <row r="52">
      <c r="D52" s="14">
        <v>419111.0</v>
      </c>
      <c r="F52" s="1" t="s">
        <v>47</v>
      </c>
      <c r="H52" s="1">
        <v>32.51</v>
      </c>
      <c r="O52" s="1" t="s">
        <v>69</v>
      </c>
    </row>
    <row r="53">
      <c r="E53" s="1">
        <v>706.0</v>
      </c>
      <c r="F53" s="1" t="s">
        <v>27</v>
      </c>
      <c r="I53" s="1">
        <v>32.51</v>
      </c>
      <c r="O53" s="28">
        <f>SUM(O43:O51)</f>
        <v>111.57</v>
      </c>
    </row>
    <row r="54">
      <c r="E54" s="1" t="s">
        <v>226</v>
      </c>
      <c r="T54" s="1" t="s">
        <v>227</v>
      </c>
    </row>
    <row r="55">
      <c r="F55" s="22">
        <v>45841.0</v>
      </c>
      <c r="T55" s="1" t="s">
        <v>228</v>
      </c>
      <c r="U55" s="1" t="s">
        <v>229</v>
      </c>
      <c r="V55" s="1" t="s">
        <v>230</v>
      </c>
    </row>
    <row r="56">
      <c r="D56" s="14">
        <v>41111.0</v>
      </c>
      <c r="F56" s="1" t="s">
        <v>50</v>
      </c>
      <c r="H56" s="1">
        <f>H52+32.76</f>
        <v>65.27</v>
      </c>
    </row>
    <row r="57">
      <c r="E57" s="1">
        <v>706.0</v>
      </c>
      <c r="F57" s="1" t="s">
        <v>27</v>
      </c>
      <c r="I57" s="1">
        <f>I53+32.76</f>
        <v>65.27</v>
      </c>
    </row>
    <row r="58">
      <c r="E58" s="1" t="s">
        <v>231</v>
      </c>
    </row>
    <row r="59">
      <c r="F59" s="22">
        <v>45841.0</v>
      </c>
    </row>
    <row r="60">
      <c r="D60" s="25">
        <v>512.0</v>
      </c>
      <c r="E60" s="24"/>
      <c r="F60" s="25" t="s">
        <v>29</v>
      </c>
      <c r="G60" s="24"/>
      <c r="H60" s="25">
        <v>32.51</v>
      </c>
      <c r="I60" s="24"/>
    </row>
    <row r="61">
      <c r="E61" s="14">
        <v>419111.0</v>
      </c>
      <c r="F61" s="1" t="s">
        <v>47</v>
      </c>
      <c r="I61" s="1">
        <v>32.51</v>
      </c>
      <c r="P61" s="22"/>
    </row>
    <row r="62">
      <c r="E62" s="1" t="s">
        <v>75</v>
      </c>
      <c r="N62" s="53"/>
    </row>
    <row r="63">
      <c r="F63" s="22">
        <v>45848.0</v>
      </c>
    </row>
    <row r="64">
      <c r="D64" s="1">
        <v>606.0</v>
      </c>
      <c r="F64" s="1" t="s">
        <v>27</v>
      </c>
      <c r="H64" s="1">
        <v>4.46</v>
      </c>
    </row>
    <row r="65">
      <c r="E65" s="65">
        <v>4013.0</v>
      </c>
      <c r="F65" s="1" t="s">
        <v>232</v>
      </c>
      <c r="I65" s="1">
        <v>4.46</v>
      </c>
      <c r="P65" s="22"/>
    </row>
    <row r="66">
      <c r="E66" s="1" t="s">
        <v>233</v>
      </c>
      <c r="N66" s="53"/>
    </row>
    <row r="67">
      <c r="F67" s="22">
        <v>45848.0</v>
      </c>
    </row>
    <row r="68">
      <c r="D68" s="65">
        <v>4013.0</v>
      </c>
      <c r="F68" s="1" t="s">
        <v>232</v>
      </c>
      <c r="H68" s="1">
        <v>4.46</v>
      </c>
    </row>
    <row r="69">
      <c r="D69" s="30"/>
      <c r="E69" s="32">
        <v>512.0</v>
      </c>
      <c r="F69" s="32" t="s">
        <v>29</v>
      </c>
      <c r="G69" s="30"/>
      <c r="H69" s="30"/>
      <c r="I69" s="32">
        <v>4.46</v>
      </c>
      <c r="P69" s="22"/>
    </row>
    <row r="70">
      <c r="E70" s="1" t="s">
        <v>206</v>
      </c>
    </row>
    <row r="71">
      <c r="F71" s="22">
        <v>45849.0</v>
      </c>
      <c r="O71" s="53"/>
    </row>
    <row r="72">
      <c r="D72" s="4">
        <v>4196.0</v>
      </c>
      <c r="F72" s="1" t="s">
        <v>234</v>
      </c>
      <c r="H72" s="1">
        <v>270.0</v>
      </c>
    </row>
    <row r="73">
      <c r="E73" s="1">
        <v>706.0</v>
      </c>
      <c r="F73" s="1" t="s">
        <v>27</v>
      </c>
      <c r="I73" s="1">
        <v>270.0</v>
      </c>
    </row>
    <row r="74">
      <c r="E74" s="1" t="s">
        <v>224</v>
      </c>
    </row>
    <row r="75">
      <c r="E75" s="1"/>
      <c r="F75" s="22">
        <v>45849.0</v>
      </c>
    </row>
    <row r="76">
      <c r="D76" s="4">
        <v>4116.0</v>
      </c>
      <c r="F76" s="1" t="s">
        <v>235</v>
      </c>
      <c r="H76" s="1">
        <v>680.0</v>
      </c>
    </row>
    <row r="77">
      <c r="E77" s="1">
        <v>706.0</v>
      </c>
      <c r="F77" s="1" t="s">
        <v>27</v>
      </c>
      <c r="I77" s="1">
        <v>680.0</v>
      </c>
    </row>
    <row r="78">
      <c r="E78" s="1" t="s">
        <v>225</v>
      </c>
    </row>
    <row r="79">
      <c r="F79" s="22">
        <v>45849.0</v>
      </c>
    </row>
    <row r="80">
      <c r="D80" s="25">
        <v>512.0</v>
      </c>
      <c r="E80" s="24"/>
      <c r="F80" s="25" t="s">
        <v>29</v>
      </c>
      <c r="G80" s="24"/>
      <c r="H80" s="25">
        <v>270.0</v>
      </c>
      <c r="I80" s="24"/>
    </row>
    <row r="81">
      <c r="E81" s="4">
        <v>4196.0</v>
      </c>
      <c r="F81" s="1" t="s">
        <v>234</v>
      </c>
      <c r="I81" s="1">
        <v>270.0</v>
      </c>
    </row>
    <row r="82">
      <c r="E82" s="1" t="s">
        <v>75</v>
      </c>
    </row>
    <row r="83">
      <c r="F83" s="22">
        <v>45849.0</v>
      </c>
    </row>
    <row r="84">
      <c r="D84" s="25">
        <v>512.0</v>
      </c>
      <c r="E84" s="24"/>
      <c r="F84" s="25" t="s">
        <v>29</v>
      </c>
      <c r="G84" s="24"/>
      <c r="H84" s="25">
        <v>110.0</v>
      </c>
      <c r="I84" s="24"/>
    </row>
    <row r="85">
      <c r="E85" s="11">
        <v>4118.0</v>
      </c>
      <c r="F85" s="1" t="s">
        <v>192</v>
      </c>
      <c r="I85" s="1">
        <v>110.0</v>
      </c>
    </row>
    <row r="86">
      <c r="E86" s="1" t="s">
        <v>97</v>
      </c>
    </row>
    <row r="87">
      <c r="E87" s="1"/>
      <c r="F87" s="22">
        <v>45849.0</v>
      </c>
    </row>
    <row r="88">
      <c r="D88" s="53">
        <v>4197.0</v>
      </c>
      <c r="F88" s="1" t="s">
        <v>164</v>
      </c>
      <c r="H88" s="1">
        <v>66.57</v>
      </c>
    </row>
    <row r="89">
      <c r="E89" s="1">
        <v>706.0</v>
      </c>
      <c r="F89" s="1" t="s">
        <v>27</v>
      </c>
      <c r="I89" s="1">
        <v>66.57</v>
      </c>
    </row>
    <row r="90">
      <c r="E90" s="1" t="s">
        <v>236</v>
      </c>
    </row>
    <row r="91">
      <c r="E91" s="1"/>
      <c r="F91" s="22">
        <v>45839.0</v>
      </c>
    </row>
    <row r="92">
      <c r="D92" s="53">
        <v>4117.0</v>
      </c>
      <c r="F92" s="1" t="s">
        <v>166</v>
      </c>
      <c r="H92" s="1">
        <v>70.0</v>
      </c>
    </row>
    <row r="93">
      <c r="E93" s="1">
        <v>706.0</v>
      </c>
      <c r="F93" s="1" t="s">
        <v>27</v>
      </c>
      <c r="I93" s="1">
        <v>70.0</v>
      </c>
    </row>
    <row r="94">
      <c r="E94" s="1" t="s">
        <v>237</v>
      </c>
    </row>
    <row r="95">
      <c r="F95" s="22">
        <v>45839.0</v>
      </c>
    </row>
    <row r="96">
      <c r="D96" s="25">
        <v>512.0</v>
      </c>
      <c r="E96" s="24"/>
      <c r="F96" s="25" t="s">
        <v>29</v>
      </c>
      <c r="G96" s="24"/>
      <c r="H96" s="25">
        <v>66.57</v>
      </c>
      <c r="I96" s="24"/>
    </row>
    <row r="97">
      <c r="E97" s="53">
        <v>4197.0</v>
      </c>
      <c r="F97" s="1" t="s">
        <v>164</v>
      </c>
      <c r="I97" s="1">
        <v>66.57</v>
      </c>
    </row>
    <row r="98">
      <c r="E98" s="1" t="s">
        <v>75</v>
      </c>
    </row>
    <row r="99">
      <c r="F99" s="22">
        <v>45850.0</v>
      </c>
    </row>
    <row r="100">
      <c r="D100" s="6">
        <v>4552.0</v>
      </c>
      <c r="F100" s="1" t="s">
        <v>43</v>
      </c>
      <c r="H100" s="1">
        <v>140.0</v>
      </c>
    </row>
    <row r="101">
      <c r="D101" s="30"/>
      <c r="E101" s="32">
        <v>512.0</v>
      </c>
      <c r="F101" s="32" t="s">
        <v>29</v>
      </c>
      <c r="G101" s="30"/>
      <c r="H101" s="30"/>
      <c r="I101" s="32">
        <v>140.0</v>
      </c>
    </row>
    <row r="102">
      <c r="E102" s="1" t="s">
        <v>238</v>
      </c>
    </row>
    <row r="103">
      <c r="F103" s="22">
        <v>45852.0</v>
      </c>
    </row>
    <row r="104">
      <c r="D104" s="25">
        <v>512.0</v>
      </c>
      <c r="E104" s="24"/>
      <c r="F104" s="25" t="s">
        <v>29</v>
      </c>
      <c r="G104" s="24"/>
      <c r="H104" s="25">
        <v>252.0</v>
      </c>
      <c r="I104" s="24"/>
    </row>
    <row r="105">
      <c r="E105" s="13">
        <v>41110.0</v>
      </c>
      <c r="F105" s="1" t="s">
        <v>239</v>
      </c>
      <c r="I105" s="1">
        <v>252.0</v>
      </c>
    </row>
    <row r="106">
      <c r="E106" s="1" t="s">
        <v>97</v>
      </c>
    </row>
    <row r="107">
      <c r="F107" s="22">
        <v>45852.0</v>
      </c>
    </row>
    <row r="108">
      <c r="D108" s="50">
        <v>4554.0</v>
      </c>
      <c r="F108" s="1" t="s">
        <v>98</v>
      </c>
      <c r="H108" s="1">
        <v>15.0</v>
      </c>
    </row>
    <row r="109">
      <c r="D109" s="30"/>
      <c r="E109" s="32">
        <v>512.0</v>
      </c>
      <c r="F109" s="32" t="s">
        <v>29</v>
      </c>
      <c r="G109" s="30"/>
      <c r="H109" s="30"/>
      <c r="I109" s="32">
        <v>15.0</v>
      </c>
    </row>
    <row r="110">
      <c r="E110" s="1" t="s">
        <v>240</v>
      </c>
    </row>
    <row r="111">
      <c r="F111" s="22">
        <v>45852.0</v>
      </c>
    </row>
    <row r="112">
      <c r="D112" s="77">
        <v>4553.0</v>
      </c>
      <c r="F112" s="1" t="s">
        <v>241</v>
      </c>
      <c r="H112" s="1">
        <v>148.5</v>
      </c>
    </row>
    <row r="113">
      <c r="D113" s="30"/>
      <c r="E113" s="32">
        <v>512.0</v>
      </c>
      <c r="F113" s="32" t="s">
        <v>29</v>
      </c>
      <c r="G113" s="30"/>
      <c r="H113" s="30"/>
      <c r="I113" s="32">
        <v>148.5</v>
      </c>
    </row>
    <row r="114">
      <c r="E114" s="1" t="s">
        <v>242</v>
      </c>
    </row>
    <row r="115">
      <c r="F115" s="22">
        <v>45852.0</v>
      </c>
    </row>
    <row r="116">
      <c r="D116" s="66">
        <v>4557.0</v>
      </c>
      <c r="F116" s="1" t="s">
        <v>243</v>
      </c>
      <c r="H116" s="1">
        <v>168.0</v>
      </c>
    </row>
    <row r="117">
      <c r="D117" s="30"/>
      <c r="E117" s="32">
        <v>512.0</v>
      </c>
      <c r="F117" s="32" t="s">
        <v>29</v>
      </c>
      <c r="G117" s="30"/>
      <c r="H117" s="30"/>
      <c r="I117" s="32">
        <v>168.0</v>
      </c>
    </row>
    <row r="118">
      <c r="E118" s="1" t="s">
        <v>244</v>
      </c>
    </row>
    <row r="119">
      <c r="F119" s="22">
        <v>45855.0</v>
      </c>
    </row>
    <row r="120">
      <c r="D120" s="25">
        <v>512.0</v>
      </c>
      <c r="E120" s="24"/>
      <c r="F120" s="25" t="s">
        <v>29</v>
      </c>
      <c r="G120" s="24"/>
      <c r="H120" s="25">
        <v>32.76</v>
      </c>
      <c r="I120" s="24"/>
    </row>
    <row r="121">
      <c r="E121" s="14">
        <v>41111.0</v>
      </c>
      <c r="F121" s="1" t="s">
        <v>50</v>
      </c>
      <c r="I121" s="1">
        <v>32.76</v>
      </c>
    </row>
    <row r="122">
      <c r="E122" s="1" t="s">
        <v>97</v>
      </c>
    </row>
    <row r="123">
      <c r="F123" s="22">
        <v>45855.0</v>
      </c>
    </row>
    <row r="124">
      <c r="D124" s="6">
        <v>4552.0</v>
      </c>
      <c r="F124" s="1" t="s">
        <v>43</v>
      </c>
      <c r="H124" s="1">
        <v>32.63</v>
      </c>
    </row>
    <row r="125">
      <c r="D125" s="30"/>
      <c r="E125" s="32">
        <v>512.0</v>
      </c>
      <c r="F125" s="32" t="s">
        <v>29</v>
      </c>
      <c r="G125" s="30"/>
      <c r="H125" s="30"/>
      <c r="I125" s="32">
        <v>32.63</v>
      </c>
    </row>
    <row r="126">
      <c r="E126" s="1" t="s">
        <v>245</v>
      </c>
    </row>
    <row r="127">
      <c r="F127" s="22">
        <v>45855.0</v>
      </c>
    </row>
    <row r="128">
      <c r="D128" s="1">
        <v>606.0</v>
      </c>
      <c r="F128" s="1" t="s">
        <v>27</v>
      </c>
      <c r="H128" s="1">
        <v>6.7</v>
      </c>
    </row>
    <row r="129">
      <c r="E129" s="65">
        <v>4013.0</v>
      </c>
      <c r="F129" s="1" t="s">
        <v>232</v>
      </c>
      <c r="I129" s="1">
        <v>6.7</v>
      </c>
    </row>
    <row r="130">
      <c r="E130" s="1" t="s">
        <v>246</v>
      </c>
    </row>
    <row r="131">
      <c r="F131" s="22">
        <v>45855.0</v>
      </c>
    </row>
    <row r="132">
      <c r="D132" s="65">
        <v>4013.0</v>
      </c>
      <c r="F132" s="1" t="s">
        <v>232</v>
      </c>
      <c r="H132" s="1">
        <v>6.7</v>
      </c>
    </row>
    <row r="133">
      <c r="D133" s="30"/>
      <c r="E133" s="32">
        <v>512.0</v>
      </c>
      <c r="F133" s="32" t="s">
        <v>29</v>
      </c>
      <c r="G133" s="30"/>
      <c r="H133" s="30"/>
      <c r="I133" s="32">
        <v>6.7</v>
      </c>
    </row>
    <row r="134">
      <c r="E134" s="1" t="s">
        <v>206</v>
      </c>
    </row>
    <row r="135">
      <c r="F135" s="22">
        <v>45856.0</v>
      </c>
    </row>
    <row r="136">
      <c r="D136" s="13">
        <v>41910.0</v>
      </c>
      <c r="F136" s="1" t="s">
        <v>247</v>
      </c>
      <c r="H136" s="1">
        <v>72.0</v>
      </c>
    </row>
    <row r="137">
      <c r="E137" s="1">
        <v>706.0</v>
      </c>
      <c r="F137" s="1" t="s">
        <v>27</v>
      </c>
      <c r="I137" s="1">
        <v>72.0</v>
      </c>
    </row>
    <row r="138">
      <c r="E138" s="1" t="s">
        <v>248</v>
      </c>
    </row>
    <row r="139">
      <c r="E139" s="1"/>
      <c r="F139" s="22">
        <v>45856.0</v>
      </c>
    </row>
    <row r="140">
      <c r="D140" s="13">
        <v>41110.0</v>
      </c>
      <c r="F140" s="1" t="s">
        <v>239</v>
      </c>
      <c r="H140" s="1">
        <v>180.0</v>
      </c>
    </row>
    <row r="141">
      <c r="E141" s="1">
        <v>706.0</v>
      </c>
      <c r="F141" s="1" t="s">
        <v>27</v>
      </c>
      <c r="I141" s="1">
        <v>180.0</v>
      </c>
    </row>
    <row r="142">
      <c r="E142" s="1" t="s">
        <v>249</v>
      </c>
    </row>
    <row r="143">
      <c r="F143" s="22">
        <v>45856.0</v>
      </c>
    </row>
    <row r="144">
      <c r="D144" s="25">
        <v>512.0</v>
      </c>
      <c r="E144" s="24"/>
      <c r="F144" s="25" t="s">
        <v>29</v>
      </c>
      <c r="G144" s="24"/>
      <c r="H144" s="25">
        <v>72.0</v>
      </c>
      <c r="I144" s="24"/>
    </row>
    <row r="145">
      <c r="E145" s="13">
        <v>41910.0</v>
      </c>
      <c r="F145" s="1" t="s">
        <v>247</v>
      </c>
      <c r="I145" s="1">
        <v>72.0</v>
      </c>
    </row>
    <row r="146">
      <c r="E146" s="1" t="s">
        <v>75</v>
      </c>
    </row>
    <row r="147">
      <c r="F147" s="22">
        <v>45856.0</v>
      </c>
    </row>
    <row r="148">
      <c r="D148" s="1">
        <v>606.0</v>
      </c>
      <c r="F148" s="1" t="s">
        <v>27</v>
      </c>
      <c r="H148" s="1">
        <v>5.0</v>
      </c>
    </row>
    <row r="149">
      <c r="E149" s="65">
        <v>4013.0</v>
      </c>
      <c r="F149" s="1" t="s">
        <v>232</v>
      </c>
      <c r="I149" s="1">
        <v>5.0</v>
      </c>
    </row>
    <row r="150">
      <c r="E150" s="1" t="s">
        <v>250</v>
      </c>
    </row>
    <row r="151">
      <c r="F151" s="22">
        <v>45856.0</v>
      </c>
    </row>
    <row r="152">
      <c r="D152" s="65">
        <v>4013.0</v>
      </c>
      <c r="F152" s="1" t="s">
        <v>232</v>
      </c>
      <c r="H152" s="1">
        <v>5.0</v>
      </c>
    </row>
    <row r="153">
      <c r="D153" s="30"/>
      <c r="E153" s="32">
        <v>512.0</v>
      </c>
      <c r="F153" s="32" t="s">
        <v>29</v>
      </c>
      <c r="G153" s="30"/>
      <c r="H153" s="30"/>
      <c r="I153" s="32">
        <v>5.0</v>
      </c>
    </row>
    <row r="154">
      <c r="E154" s="1" t="s">
        <v>206</v>
      </c>
    </row>
    <row r="155">
      <c r="F155" s="22">
        <v>45857.0</v>
      </c>
    </row>
    <row r="156">
      <c r="D156" s="1">
        <v>606.0</v>
      </c>
      <c r="F156" s="1" t="s">
        <v>27</v>
      </c>
      <c r="H156" s="1">
        <v>10.0</v>
      </c>
    </row>
    <row r="157">
      <c r="E157" s="65">
        <v>4013.0</v>
      </c>
      <c r="F157" s="1" t="s">
        <v>232</v>
      </c>
      <c r="I157" s="1">
        <v>10.0</v>
      </c>
    </row>
    <row r="158">
      <c r="E158" s="1" t="s">
        <v>251</v>
      </c>
    </row>
    <row r="159">
      <c r="F159" s="22">
        <v>45857.0</v>
      </c>
    </row>
    <row r="160">
      <c r="D160" s="65">
        <v>4013.0</v>
      </c>
      <c r="F160" s="1" t="s">
        <v>232</v>
      </c>
      <c r="H160" s="1">
        <v>10.0</v>
      </c>
    </row>
    <row r="161">
      <c r="D161" s="30"/>
      <c r="E161" s="32">
        <v>512.0</v>
      </c>
      <c r="F161" s="32" t="s">
        <v>29</v>
      </c>
      <c r="G161" s="30"/>
      <c r="H161" s="30"/>
      <c r="I161" s="32">
        <v>10.0</v>
      </c>
    </row>
    <row r="162">
      <c r="E162" s="1" t="s">
        <v>206</v>
      </c>
    </row>
    <row r="163">
      <c r="E163" s="1"/>
      <c r="F163" s="22">
        <v>45861.0</v>
      </c>
    </row>
    <row r="164">
      <c r="D164" s="8">
        <v>4194.0</v>
      </c>
      <c r="F164" s="1" t="s">
        <v>252</v>
      </c>
      <c r="H164" s="1">
        <v>46.26</v>
      </c>
    </row>
    <row r="165">
      <c r="E165" s="1">
        <v>706.0</v>
      </c>
      <c r="F165" s="1" t="s">
        <v>27</v>
      </c>
      <c r="I165" s="1">
        <v>46.26</v>
      </c>
    </row>
    <row r="166">
      <c r="E166" s="1" t="s">
        <v>253</v>
      </c>
      <c r="F166" s="22"/>
    </row>
    <row r="167">
      <c r="E167" s="1"/>
      <c r="F167" s="22">
        <v>45861.0</v>
      </c>
    </row>
    <row r="168">
      <c r="D168" s="8">
        <v>4114.0</v>
      </c>
      <c r="F168" s="1" t="s">
        <v>254</v>
      </c>
      <c r="H168" s="1">
        <v>120.0</v>
      </c>
    </row>
    <row r="169">
      <c r="E169" s="1">
        <v>706.0</v>
      </c>
      <c r="F169" s="1" t="s">
        <v>27</v>
      </c>
      <c r="I169" s="1">
        <v>120.0</v>
      </c>
    </row>
    <row r="170">
      <c r="E170" s="1" t="s">
        <v>255</v>
      </c>
    </row>
    <row r="171">
      <c r="F171" s="22">
        <v>45861.0</v>
      </c>
    </row>
    <row r="172">
      <c r="D172" s="25">
        <v>512.0</v>
      </c>
      <c r="E172" s="24"/>
      <c r="F172" s="25" t="s">
        <v>29</v>
      </c>
      <c r="G172" s="24"/>
      <c r="H172" s="25">
        <v>46.26</v>
      </c>
      <c r="I172" s="24"/>
    </row>
    <row r="173">
      <c r="E173" s="8">
        <v>4194.0</v>
      </c>
      <c r="F173" s="1" t="s">
        <v>252</v>
      </c>
      <c r="I173" s="1">
        <v>46.26</v>
      </c>
    </row>
    <row r="174">
      <c r="E174" s="1" t="s">
        <v>75</v>
      </c>
    </row>
    <row r="175">
      <c r="F175" s="22">
        <v>45861.0</v>
      </c>
    </row>
    <row r="176">
      <c r="D176" s="1">
        <v>606.0</v>
      </c>
      <c r="F176" s="1" t="s">
        <v>27</v>
      </c>
      <c r="H176" s="1">
        <v>5.0</v>
      </c>
    </row>
    <row r="177">
      <c r="E177" s="65">
        <v>4013.0</v>
      </c>
      <c r="F177" s="1" t="s">
        <v>232</v>
      </c>
      <c r="I177" s="1">
        <v>5.0</v>
      </c>
    </row>
    <row r="178">
      <c r="E178" s="1" t="s">
        <v>246</v>
      </c>
    </row>
    <row r="179">
      <c r="F179" s="22">
        <v>45861.0</v>
      </c>
    </row>
    <row r="180">
      <c r="D180" s="65">
        <v>4013.0</v>
      </c>
      <c r="F180" s="1" t="s">
        <v>232</v>
      </c>
      <c r="H180" s="1">
        <v>5.0</v>
      </c>
    </row>
    <row r="181">
      <c r="D181" s="30"/>
      <c r="E181" s="32">
        <v>512.0</v>
      </c>
      <c r="F181" s="32" t="s">
        <v>29</v>
      </c>
      <c r="G181" s="30"/>
      <c r="H181" s="30"/>
      <c r="I181" s="32">
        <v>5.0</v>
      </c>
    </row>
    <row r="182">
      <c r="E182" s="1" t="s">
        <v>206</v>
      </c>
    </row>
    <row r="183">
      <c r="F183" s="22">
        <v>45864.0</v>
      </c>
    </row>
    <row r="184">
      <c r="D184" s="1">
        <v>606.0</v>
      </c>
      <c r="F184" s="1" t="s">
        <v>27</v>
      </c>
      <c r="H184" s="1">
        <v>40.0</v>
      </c>
    </row>
    <row r="185">
      <c r="E185" s="2">
        <v>4017.0</v>
      </c>
      <c r="F185" s="1" t="s">
        <v>256</v>
      </c>
      <c r="I185" s="1">
        <v>40.0</v>
      </c>
    </row>
    <row r="186">
      <c r="E186" s="1" t="s">
        <v>257</v>
      </c>
    </row>
    <row r="187">
      <c r="F187" s="22">
        <v>45864.0</v>
      </c>
    </row>
    <row r="188">
      <c r="D188" s="2">
        <v>4017.0</v>
      </c>
      <c r="F188" s="1" t="s">
        <v>256</v>
      </c>
      <c r="H188" s="1">
        <v>40.0</v>
      </c>
    </row>
    <row r="189">
      <c r="D189" s="30"/>
      <c r="E189" s="32">
        <v>512.0</v>
      </c>
      <c r="F189" s="32" t="s">
        <v>29</v>
      </c>
      <c r="G189" s="30"/>
      <c r="H189" s="30"/>
      <c r="I189" s="32">
        <v>40.0</v>
      </c>
    </row>
    <row r="190">
      <c r="E190" s="1" t="s">
        <v>206</v>
      </c>
    </row>
    <row r="191">
      <c r="F191" s="22">
        <v>45867.0</v>
      </c>
    </row>
    <row r="192">
      <c r="D192" s="1">
        <v>606.0</v>
      </c>
      <c r="F192" s="1" t="s">
        <v>27</v>
      </c>
      <c r="H192" s="1">
        <v>11.8</v>
      </c>
    </row>
    <row r="193">
      <c r="E193" s="9">
        <v>4015.0</v>
      </c>
      <c r="F193" s="1" t="s">
        <v>213</v>
      </c>
      <c r="I193" s="1">
        <v>11.8</v>
      </c>
    </row>
    <row r="194">
      <c r="E194" s="1" t="s">
        <v>214</v>
      </c>
    </row>
    <row r="195">
      <c r="F195" s="22">
        <v>45867.0</v>
      </c>
    </row>
    <row r="196">
      <c r="D196" s="9">
        <v>4015.0</v>
      </c>
      <c r="F196" s="1" t="s">
        <v>213</v>
      </c>
      <c r="H196" s="1">
        <v>11.8</v>
      </c>
    </row>
    <row r="197">
      <c r="D197" s="30"/>
      <c r="E197" s="32">
        <v>512.0</v>
      </c>
      <c r="F197" s="32" t="s">
        <v>29</v>
      </c>
      <c r="G197" s="30"/>
      <c r="H197" s="30"/>
      <c r="I197" s="32">
        <v>11.8</v>
      </c>
    </row>
    <row r="198">
      <c r="E198" s="1" t="s">
        <v>206</v>
      </c>
    </row>
    <row r="199">
      <c r="D199" s="36"/>
      <c r="E199" s="36"/>
      <c r="F199" s="56">
        <v>45868.0</v>
      </c>
      <c r="G199" s="36"/>
      <c r="H199" s="36"/>
      <c r="I199" s="36"/>
    </row>
    <row r="200">
      <c r="D200" s="43">
        <v>2051.0</v>
      </c>
      <c r="E200" s="36"/>
      <c r="F200" s="36" t="s">
        <v>68</v>
      </c>
      <c r="G200" s="36"/>
      <c r="H200" s="57">
        <v>22.61</v>
      </c>
      <c r="I200" s="36"/>
    </row>
    <row r="201">
      <c r="D201" s="36"/>
      <c r="E201" s="70">
        <v>4012.0</v>
      </c>
      <c r="F201" s="36" t="s">
        <v>119</v>
      </c>
      <c r="G201" s="36"/>
      <c r="H201" s="36"/>
      <c r="I201" s="57">
        <v>22.61</v>
      </c>
    </row>
    <row r="202">
      <c r="D202" s="36"/>
      <c r="E202" s="36" t="s">
        <v>120</v>
      </c>
      <c r="F202" s="36"/>
      <c r="G202" s="36"/>
      <c r="H202" s="36"/>
      <c r="I202" s="36"/>
    </row>
    <row r="203">
      <c r="D203" s="36"/>
      <c r="E203" s="36"/>
      <c r="F203" s="56">
        <v>45868.0</v>
      </c>
      <c r="G203" s="36"/>
      <c r="H203" s="36"/>
      <c r="I203" s="36"/>
    </row>
    <row r="204">
      <c r="D204" s="70">
        <v>4012.0</v>
      </c>
      <c r="E204" s="36"/>
      <c r="F204" s="36" t="s">
        <v>119</v>
      </c>
      <c r="G204" s="36"/>
      <c r="H204" s="57">
        <v>22.61</v>
      </c>
      <c r="I204" s="36"/>
    </row>
    <row r="205">
      <c r="D205" s="45"/>
      <c r="E205" s="47">
        <v>512.0</v>
      </c>
      <c r="F205" s="45" t="s">
        <v>29</v>
      </c>
      <c r="G205" s="45"/>
      <c r="H205" s="45"/>
      <c r="I205" s="60">
        <v>22.61</v>
      </c>
    </row>
    <row r="206">
      <c r="D206" s="36"/>
      <c r="E206" s="36" t="s">
        <v>121</v>
      </c>
      <c r="F206" s="36"/>
      <c r="G206" s="36"/>
      <c r="H206" s="36"/>
      <c r="I206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62</v>
      </c>
    </row>
    <row r="2">
      <c r="A2" s="2">
        <v>4111.0</v>
      </c>
      <c r="B2" s="1" t="s">
        <v>122</v>
      </c>
      <c r="D2" s="3">
        <v>4551.0</v>
      </c>
      <c r="E2" s="1" t="s">
        <v>4</v>
      </c>
      <c r="G2" s="9">
        <v>4011.0</v>
      </c>
      <c r="H2" s="1" t="s">
        <v>172</v>
      </c>
    </row>
    <row r="3">
      <c r="A3" s="5">
        <v>4112.0</v>
      </c>
      <c r="B3" s="1" t="s">
        <v>258</v>
      </c>
      <c r="D3" s="6">
        <v>4552.0</v>
      </c>
      <c r="E3" s="1" t="s">
        <v>7</v>
      </c>
      <c r="G3" s="49">
        <v>4012.0</v>
      </c>
      <c r="H3" s="1" t="s">
        <v>64</v>
      </c>
    </row>
    <row r="4">
      <c r="A4" s="7">
        <v>4113.0</v>
      </c>
      <c r="B4" s="1" t="s">
        <v>124</v>
      </c>
      <c r="D4" s="53">
        <v>4555.0</v>
      </c>
      <c r="E4" s="1" t="s">
        <v>13</v>
      </c>
      <c r="G4" s="65">
        <v>4013.0</v>
      </c>
      <c r="H4" s="1" t="s">
        <v>149</v>
      </c>
    </row>
    <row r="5">
      <c r="A5" s="8">
        <v>4114.0</v>
      </c>
      <c r="B5" s="1" t="s">
        <v>217</v>
      </c>
      <c r="D5" s="52">
        <v>4556.0</v>
      </c>
      <c r="E5" s="1" t="s">
        <v>259</v>
      </c>
      <c r="G5" s="4">
        <v>4016.0</v>
      </c>
      <c r="H5" s="1" t="s">
        <v>5</v>
      </c>
    </row>
    <row r="6">
      <c r="A6" s="9">
        <v>4115.0</v>
      </c>
      <c r="B6" s="1" t="s">
        <v>127</v>
      </c>
      <c r="D6" s="50">
        <v>4554.0</v>
      </c>
      <c r="E6" s="1" t="s">
        <v>11</v>
      </c>
      <c r="G6" s="2">
        <v>4017.0</v>
      </c>
      <c r="H6" s="1" t="s">
        <v>218</v>
      </c>
    </row>
    <row r="7">
      <c r="A7" s="4">
        <v>4116.0</v>
      </c>
      <c r="B7" s="1" t="s">
        <v>219</v>
      </c>
      <c r="D7" s="77">
        <v>4553.0</v>
      </c>
      <c r="E7" s="1" t="s">
        <v>220</v>
      </c>
    </row>
    <row r="8">
      <c r="A8" s="53">
        <v>4117.0</v>
      </c>
      <c r="B8" s="1" t="s">
        <v>129</v>
      </c>
      <c r="D8" s="66">
        <v>4557.0</v>
      </c>
      <c r="E8" s="1" t="s">
        <v>221</v>
      </c>
    </row>
    <row r="9">
      <c r="A9" s="11">
        <v>4118.0</v>
      </c>
      <c r="B9" s="1" t="s">
        <v>174</v>
      </c>
      <c r="O9" s="1" t="s">
        <v>4</v>
      </c>
      <c r="R9" s="1" t="s">
        <v>7</v>
      </c>
      <c r="S9" s="1" t="s">
        <v>220</v>
      </c>
      <c r="T9" s="1" t="s">
        <v>13</v>
      </c>
      <c r="U9" s="1" t="s">
        <v>221</v>
      </c>
      <c r="V9" s="1" t="s">
        <v>259</v>
      </c>
    </row>
    <row r="10">
      <c r="A10" s="12">
        <v>4119.0</v>
      </c>
      <c r="B10" s="1" t="s">
        <v>18</v>
      </c>
      <c r="O10" s="1">
        <v>512.0</v>
      </c>
      <c r="R10" s="1">
        <v>512.0</v>
      </c>
      <c r="S10" s="1">
        <v>512.0</v>
      </c>
      <c r="T10" s="1">
        <v>512.0</v>
      </c>
      <c r="U10" s="1">
        <v>512.0</v>
      </c>
      <c r="V10" s="1">
        <v>512.0</v>
      </c>
    </row>
    <row r="11">
      <c r="A11" s="13">
        <v>41110.0</v>
      </c>
      <c r="B11" s="1" t="s">
        <v>175</v>
      </c>
      <c r="N11" s="1" t="s">
        <v>23</v>
      </c>
      <c r="O11" s="15"/>
      <c r="P11" s="1" t="s">
        <v>24</v>
      </c>
      <c r="R11" s="15" t="s">
        <v>23</v>
      </c>
      <c r="S11" s="15" t="s">
        <v>23</v>
      </c>
      <c r="T11" s="15" t="s">
        <v>23</v>
      </c>
      <c r="U11" s="15" t="s">
        <v>23</v>
      </c>
      <c r="V11" s="15" t="s">
        <v>23</v>
      </c>
    </row>
    <row r="12">
      <c r="A12" s="14">
        <v>41111.0</v>
      </c>
      <c r="B12" s="1" t="s">
        <v>260</v>
      </c>
      <c r="N12" s="28">
        <f>H29</f>
        <v>108</v>
      </c>
      <c r="P12" s="28">
        <f>I26</f>
        <v>15</v>
      </c>
      <c r="R12" s="28">
        <f>I38</f>
        <v>5</v>
      </c>
      <c r="S12" s="28">
        <f>I70</f>
        <v>49</v>
      </c>
      <c r="T12" s="28">
        <f>I118</f>
        <v>65</v>
      </c>
      <c r="U12" s="28">
        <f>I34</f>
        <v>148.99</v>
      </c>
      <c r="V12" s="28">
        <f>I94</f>
        <v>102</v>
      </c>
    </row>
    <row r="13">
      <c r="N13" s="28">
        <f>H49</f>
        <v>88</v>
      </c>
      <c r="P13" s="28">
        <f>I34</f>
        <v>148.99</v>
      </c>
      <c r="R13" s="28">
        <f>I58</f>
        <v>340</v>
      </c>
    </row>
    <row r="14">
      <c r="N14" s="28">
        <f>H53</f>
        <v>410</v>
      </c>
      <c r="P14" s="28">
        <f>I38</f>
        <v>5</v>
      </c>
      <c r="R14" s="28">
        <f>I66</f>
        <v>138</v>
      </c>
    </row>
    <row r="15">
      <c r="N15" s="28">
        <f>H61</f>
        <v>132</v>
      </c>
      <c r="P15" s="28">
        <f>I58</f>
        <v>340</v>
      </c>
    </row>
    <row r="16">
      <c r="N16" s="28">
        <f>H81</f>
        <v>280</v>
      </c>
      <c r="P16" s="28">
        <f>I66</f>
        <v>138</v>
      </c>
    </row>
    <row r="17">
      <c r="N17" s="28">
        <f>H85</f>
        <v>7.8</v>
      </c>
      <c r="P17" s="28">
        <f>I70</f>
        <v>49</v>
      </c>
    </row>
    <row r="18">
      <c r="F18" s="55" t="s">
        <v>66</v>
      </c>
      <c r="N18" s="28">
        <f>H89</f>
        <v>72</v>
      </c>
      <c r="P18" s="28">
        <f>I94</f>
        <v>102</v>
      </c>
    </row>
    <row r="19">
      <c r="F19" s="1" t="s">
        <v>261</v>
      </c>
      <c r="N19" s="28">
        <f>H113</f>
        <v>50</v>
      </c>
      <c r="P19" s="28">
        <f>I102</f>
        <v>167.67</v>
      </c>
    </row>
    <row r="20">
      <c r="F20" s="22">
        <v>45871.0</v>
      </c>
      <c r="P20" s="28">
        <f>I110</f>
        <v>10.13</v>
      </c>
    </row>
    <row r="21">
      <c r="D21" s="1">
        <v>606.0</v>
      </c>
      <c r="F21" s="1" t="s">
        <v>27</v>
      </c>
      <c r="H21" s="1">
        <v>15.0</v>
      </c>
      <c r="P21" s="28">
        <f>I118</f>
        <v>65</v>
      </c>
    </row>
    <row r="22">
      <c r="E22" s="2">
        <v>4017.0</v>
      </c>
      <c r="F22" s="1" t="s">
        <v>256</v>
      </c>
      <c r="I22" s="1">
        <v>15.0</v>
      </c>
      <c r="P22" s="28">
        <f>I126</f>
        <v>22.35</v>
      </c>
    </row>
    <row r="23">
      <c r="E23" s="1" t="s">
        <v>262</v>
      </c>
      <c r="N23" s="1" t="s">
        <v>69</v>
      </c>
      <c r="P23" s="1" t="s">
        <v>69</v>
      </c>
    </row>
    <row r="24">
      <c r="F24" s="22">
        <v>45871.0</v>
      </c>
      <c r="N24" s="28">
        <f>SUM(N12:N22)</f>
        <v>1147.8</v>
      </c>
      <c r="P24" s="28">
        <f>SUM(P12:P22)</f>
        <v>1063.14</v>
      </c>
    </row>
    <row r="25">
      <c r="D25" s="2">
        <v>4017.0</v>
      </c>
      <c r="F25" s="1" t="s">
        <v>256</v>
      </c>
      <c r="H25" s="1">
        <v>15.0</v>
      </c>
    </row>
    <row r="26">
      <c r="D26" s="30"/>
      <c r="E26" s="32">
        <v>512.0</v>
      </c>
      <c r="F26" s="32" t="s">
        <v>29</v>
      </c>
      <c r="G26" s="30"/>
      <c r="H26" s="30"/>
      <c r="I26" s="32">
        <v>15.0</v>
      </c>
      <c r="O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</row>
    <row r="27">
      <c r="E27" s="1" t="s">
        <v>206</v>
      </c>
      <c r="O27" s="28">
        <f>N24-P24</f>
        <v>84.66</v>
      </c>
      <c r="R27" s="28">
        <f t="shared" ref="R27:V27" si="1">SUM(R12:R24)</f>
        <v>483</v>
      </c>
      <c r="S27" s="28">
        <f t="shared" si="1"/>
        <v>49</v>
      </c>
      <c r="T27" s="28">
        <f t="shared" si="1"/>
        <v>65</v>
      </c>
      <c r="U27" s="28">
        <f t="shared" si="1"/>
        <v>148.99</v>
      </c>
      <c r="V27" s="28">
        <f t="shared" si="1"/>
        <v>102</v>
      </c>
    </row>
    <row r="28">
      <c r="F28" s="22">
        <v>45875.0</v>
      </c>
    </row>
    <row r="29">
      <c r="D29" s="25">
        <v>512.0</v>
      </c>
      <c r="E29" s="24"/>
      <c r="F29" s="25" t="s">
        <v>29</v>
      </c>
      <c r="G29" s="24"/>
      <c r="H29" s="25">
        <v>108.0</v>
      </c>
      <c r="I29" s="24"/>
    </row>
    <row r="30">
      <c r="E30" s="13">
        <v>41110.0</v>
      </c>
      <c r="F30" s="1" t="s">
        <v>239</v>
      </c>
      <c r="I30" s="1">
        <v>108.0</v>
      </c>
    </row>
    <row r="31">
      <c r="E31" s="1" t="s">
        <v>97</v>
      </c>
    </row>
    <row r="32">
      <c r="F32" s="22">
        <v>45875.0</v>
      </c>
    </row>
    <row r="33">
      <c r="D33" s="66">
        <v>4557.0</v>
      </c>
      <c r="F33" s="1" t="s">
        <v>243</v>
      </c>
      <c r="H33" s="1">
        <v>148.99</v>
      </c>
    </row>
    <row r="34">
      <c r="D34" s="30"/>
      <c r="E34" s="32">
        <v>512.0</v>
      </c>
      <c r="F34" s="32" t="s">
        <v>29</v>
      </c>
      <c r="G34" s="30"/>
      <c r="H34" s="30"/>
      <c r="I34" s="32">
        <v>148.99</v>
      </c>
      <c r="M34" s="1" t="s">
        <v>80</v>
      </c>
      <c r="N34" s="78">
        <v>0.15</v>
      </c>
      <c r="Q34" s="1" t="s">
        <v>42</v>
      </c>
    </row>
    <row r="35">
      <c r="E35" s="1" t="s">
        <v>244</v>
      </c>
      <c r="M35" s="1" t="s">
        <v>83</v>
      </c>
      <c r="N35" s="28">
        <f>175-I34</f>
        <v>26.01</v>
      </c>
      <c r="Q35" s="28">
        <f>I26</f>
        <v>15</v>
      </c>
    </row>
    <row r="36">
      <c r="F36" s="22">
        <v>45875.0</v>
      </c>
      <c r="N36" s="28">
        <f>220-I66-I70</f>
        <v>33</v>
      </c>
      <c r="Q36" s="28">
        <f>I102</f>
        <v>167.67</v>
      </c>
    </row>
    <row r="37">
      <c r="D37" s="6">
        <v>4552.0</v>
      </c>
      <c r="F37" s="1" t="s">
        <v>43</v>
      </c>
      <c r="H37" s="1">
        <v>5.0</v>
      </c>
      <c r="N37" s="28">
        <f>120-I94</f>
        <v>18</v>
      </c>
      <c r="Q37" s="28">
        <f>I110</f>
        <v>10.13</v>
      </c>
    </row>
    <row r="38">
      <c r="D38" s="30"/>
      <c r="E38" s="32">
        <v>512.0</v>
      </c>
      <c r="F38" s="32" t="s">
        <v>29</v>
      </c>
      <c r="G38" s="30"/>
      <c r="H38" s="30"/>
      <c r="I38" s="32">
        <v>5.0</v>
      </c>
      <c r="N38" s="28">
        <f>74-I118</f>
        <v>9</v>
      </c>
      <c r="Q38" s="28">
        <f>I126</f>
        <v>22.35</v>
      </c>
    </row>
    <row r="39">
      <c r="E39" s="1" t="s">
        <v>244</v>
      </c>
      <c r="F39" s="22"/>
    </row>
    <row r="40">
      <c r="E40" s="1"/>
      <c r="F40" s="22">
        <v>45875.0</v>
      </c>
      <c r="M40" s="1" t="s">
        <v>69</v>
      </c>
      <c r="N40" s="28">
        <f>SUM(N35:N39)</f>
        <v>86.01</v>
      </c>
      <c r="P40" s="1" t="s">
        <v>69</v>
      </c>
      <c r="Q40" s="28">
        <f>SUM(Q35:Q38)</f>
        <v>215.15</v>
      </c>
    </row>
    <row r="41">
      <c r="D41" s="5">
        <v>4192.0</v>
      </c>
      <c r="F41" s="1" t="s">
        <v>263</v>
      </c>
      <c r="H41" s="1">
        <v>88.0</v>
      </c>
    </row>
    <row r="42">
      <c r="E42" s="1">
        <v>706.0</v>
      </c>
      <c r="F42" s="1" t="s">
        <v>27</v>
      </c>
      <c r="I42" s="1">
        <v>88.0</v>
      </c>
    </row>
    <row r="43">
      <c r="E43" s="1" t="s">
        <v>264</v>
      </c>
    </row>
    <row r="44">
      <c r="E44" s="1"/>
      <c r="F44" s="22">
        <v>45875.0</v>
      </c>
    </row>
    <row r="45">
      <c r="D45" s="5">
        <v>4112.0</v>
      </c>
      <c r="F45" s="1" t="s">
        <v>265</v>
      </c>
      <c r="H45" s="1">
        <v>220.0</v>
      </c>
    </row>
    <row r="46">
      <c r="E46" s="1">
        <v>706.0</v>
      </c>
      <c r="F46" s="1" t="s">
        <v>27</v>
      </c>
      <c r="I46" s="1">
        <v>220.0</v>
      </c>
    </row>
    <row r="47">
      <c r="E47" s="1" t="s">
        <v>266</v>
      </c>
    </row>
    <row r="48">
      <c r="F48" s="22">
        <v>45875.0</v>
      </c>
    </row>
    <row r="49">
      <c r="D49" s="25">
        <v>512.0</v>
      </c>
      <c r="E49" s="24"/>
      <c r="F49" s="25" t="s">
        <v>29</v>
      </c>
      <c r="G49" s="24"/>
      <c r="H49" s="25">
        <v>88.0</v>
      </c>
      <c r="I49" s="24"/>
    </row>
    <row r="50">
      <c r="E50" s="5">
        <v>4192.0</v>
      </c>
      <c r="F50" s="1" t="s">
        <v>263</v>
      </c>
      <c r="I50" s="1">
        <v>88.0</v>
      </c>
    </row>
    <row r="51">
      <c r="E51" s="1" t="s">
        <v>75</v>
      </c>
    </row>
    <row r="52">
      <c r="F52" s="22">
        <v>45878.0</v>
      </c>
    </row>
    <row r="53">
      <c r="D53" s="25">
        <v>512.0</v>
      </c>
      <c r="E53" s="24"/>
      <c r="F53" s="25" t="s">
        <v>29</v>
      </c>
      <c r="G53" s="24"/>
      <c r="H53" s="25">
        <v>410.0</v>
      </c>
      <c r="I53" s="24"/>
    </row>
    <row r="54">
      <c r="E54" s="4">
        <v>4116.0</v>
      </c>
      <c r="F54" s="1" t="s">
        <v>235</v>
      </c>
      <c r="I54" s="1">
        <v>410.0</v>
      </c>
    </row>
    <row r="55">
      <c r="E55" s="1" t="s">
        <v>97</v>
      </c>
    </row>
    <row r="56">
      <c r="F56" s="22">
        <v>45878.0</v>
      </c>
    </row>
    <row r="57">
      <c r="D57" s="6">
        <v>4552.0</v>
      </c>
      <c r="F57" s="1" t="s">
        <v>43</v>
      </c>
      <c r="H57" s="1">
        <v>340.0</v>
      </c>
    </row>
    <row r="58">
      <c r="D58" s="30"/>
      <c r="E58" s="32">
        <v>512.0</v>
      </c>
      <c r="F58" s="32" t="s">
        <v>29</v>
      </c>
      <c r="G58" s="30"/>
      <c r="H58" s="30"/>
      <c r="I58" s="32">
        <v>340.0</v>
      </c>
    </row>
    <row r="59">
      <c r="E59" s="1" t="s">
        <v>267</v>
      </c>
      <c r="F59" s="22"/>
    </row>
    <row r="60">
      <c r="F60" s="22">
        <v>45878.0</v>
      </c>
    </row>
    <row r="61">
      <c r="D61" s="25">
        <v>512.0</v>
      </c>
      <c r="E61" s="24"/>
      <c r="F61" s="25" t="s">
        <v>29</v>
      </c>
      <c r="G61" s="24"/>
      <c r="H61" s="25">
        <v>132.0</v>
      </c>
      <c r="I61" s="24"/>
    </row>
    <row r="62">
      <c r="E62" s="5">
        <v>4112.0</v>
      </c>
      <c r="F62" s="1" t="s">
        <v>265</v>
      </c>
      <c r="I62" s="1">
        <v>132.0</v>
      </c>
    </row>
    <row r="63">
      <c r="E63" s="1" t="s">
        <v>97</v>
      </c>
    </row>
    <row r="64">
      <c r="F64" s="22">
        <v>45878.0</v>
      </c>
    </row>
    <row r="65">
      <c r="D65" s="6">
        <v>4552.0</v>
      </c>
      <c r="F65" s="1" t="s">
        <v>43</v>
      </c>
      <c r="H65" s="1">
        <v>138.0</v>
      </c>
    </row>
    <row r="66">
      <c r="D66" s="30"/>
      <c r="E66" s="32">
        <v>512.0</v>
      </c>
      <c r="F66" s="32" t="s">
        <v>29</v>
      </c>
      <c r="G66" s="30"/>
      <c r="H66" s="30"/>
      <c r="I66" s="32">
        <v>138.0</v>
      </c>
    </row>
    <row r="67">
      <c r="E67" s="1" t="s">
        <v>268</v>
      </c>
      <c r="F67" s="22"/>
    </row>
    <row r="68">
      <c r="F68" s="22">
        <v>45878.0</v>
      </c>
    </row>
    <row r="69">
      <c r="D69" s="77">
        <v>4553.0</v>
      </c>
      <c r="F69" s="1" t="s">
        <v>241</v>
      </c>
      <c r="H69" s="1">
        <v>49.0</v>
      </c>
    </row>
    <row r="70">
      <c r="D70" s="30"/>
      <c r="E70" s="32">
        <v>512.0</v>
      </c>
      <c r="F70" s="32" t="s">
        <v>29</v>
      </c>
      <c r="G70" s="30"/>
      <c r="H70" s="30"/>
      <c r="I70" s="32">
        <v>49.0</v>
      </c>
    </row>
    <row r="71">
      <c r="E71" s="1" t="s">
        <v>268</v>
      </c>
      <c r="F71" s="22"/>
    </row>
    <row r="72">
      <c r="E72" s="1"/>
      <c r="F72" s="22">
        <v>45880.0</v>
      </c>
      <c r="Q72" s="22"/>
    </row>
    <row r="73">
      <c r="D73" s="14">
        <v>41911.0</v>
      </c>
      <c r="F73" s="1" t="s">
        <v>269</v>
      </c>
      <c r="H73" s="1">
        <v>280.0</v>
      </c>
      <c r="O73" s="1"/>
      <c r="Q73" s="1"/>
      <c r="S73" s="1"/>
    </row>
    <row r="74">
      <c r="E74" s="1">
        <v>706.0</v>
      </c>
      <c r="F74" s="1" t="s">
        <v>27</v>
      </c>
      <c r="I74" s="1">
        <v>280.0</v>
      </c>
    </row>
    <row r="75">
      <c r="E75" s="1" t="s">
        <v>270</v>
      </c>
    </row>
    <row r="76">
      <c r="E76" s="1"/>
      <c r="F76" s="22">
        <v>45880.0</v>
      </c>
      <c r="Q76" s="22"/>
    </row>
    <row r="77">
      <c r="D77" s="14">
        <v>41111.0</v>
      </c>
      <c r="F77" s="1" t="s">
        <v>271</v>
      </c>
      <c r="H77" s="1">
        <v>700.0</v>
      </c>
      <c r="O77" s="1"/>
      <c r="Q77" s="1"/>
      <c r="S77" s="1"/>
    </row>
    <row r="78">
      <c r="E78" s="1">
        <v>706.0</v>
      </c>
      <c r="F78" s="1" t="s">
        <v>27</v>
      </c>
      <c r="I78" s="1">
        <v>700.0</v>
      </c>
      <c r="P78" s="8"/>
    </row>
    <row r="79">
      <c r="E79" s="1" t="s">
        <v>272</v>
      </c>
    </row>
    <row r="80">
      <c r="F80" s="22">
        <v>45880.0</v>
      </c>
      <c r="Q80" s="22"/>
    </row>
    <row r="81">
      <c r="D81" s="25">
        <v>512.0</v>
      </c>
      <c r="E81" s="24"/>
      <c r="F81" s="25" t="s">
        <v>29</v>
      </c>
      <c r="G81" s="24"/>
      <c r="H81" s="25">
        <v>280.0</v>
      </c>
      <c r="I81" s="24"/>
      <c r="O81" s="52"/>
    </row>
    <row r="82">
      <c r="E82" s="14">
        <v>41911.0</v>
      </c>
      <c r="F82" s="1" t="s">
        <v>269</v>
      </c>
      <c r="I82" s="1">
        <v>280.0</v>
      </c>
      <c r="P82" s="1"/>
      <c r="Q82" s="1"/>
      <c r="T82" s="1"/>
    </row>
    <row r="83">
      <c r="E83" s="1" t="s">
        <v>75</v>
      </c>
      <c r="Q83" s="22"/>
    </row>
    <row r="84">
      <c r="F84" s="22">
        <v>45886.0</v>
      </c>
      <c r="Q84" s="22"/>
    </row>
    <row r="85">
      <c r="D85" s="25">
        <v>512.0</v>
      </c>
      <c r="E85" s="24"/>
      <c r="F85" s="25" t="s">
        <v>29</v>
      </c>
      <c r="G85" s="24"/>
      <c r="H85" s="25">
        <v>7.8</v>
      </c>
      <c r="I85" s="24"/>
      <c r="O85" s="43"/>
      <c r="P85" s="36"/>
      <c r="Q85" s="42"/>
      <c r="R85" s="36"/>
      <c r="S85" s="57"/>
      <c r="T85" s="36"/>
    </row>
    <row r="86">
      <c r="E86" s="1">
        <v>606.0</v>
      </c>
      <c r="F86" s="1" t="s">
        <v>27</v>
      </c>
      <c r="I86" s="1">
        <v>7.8</v>
      </c>
      <c r="O86" s="36"/>
      <c r="P86" s="4"/>
      <c r="Q86" s="58"/>
      <c r="R86" s="36"/>
      <c r="S86" s="36"/>
      <c r="T86" s="57"/>
    </row>
    <row r="87">
      <c r="E87" s="1" t="s">
        <v>273</v>
      </c>
      <c r="O87" s="36"/>
      <c r="P87" s="58"/>
      <c r="Q87" s="36"/>
      <c r="R87" s="36"/>
      <c r="S87" s="36"/>
      <c r="T87" s="36"/>
    </row>
    <row r="88">
      <c r="F88" s="22">
        <v>45886.0</v>
      </c>
      <c r="O88" s="36"/>
      <c r="P88" s="36"/>
      <c r="Q88" s="22"/>
      <c r="R88" s="36"/>
      <c r="S88" s="36"/>
      <c r="T88" s="36"/>
    </row>
    <row r="89">
      <c r="D89" s="25">
        <v>512.0</v>
      </c>
      <c r="E89" s="24"/>
      <c r="F89" s="25" t="s">
        <v>29</v>
      </c>
      <c r="G89" s="24"/>
      <c r="H89" s="25">
        <v>72.0</v>
      </c>
      <c r="I89" s="24"/>
      <c r="O89" s="4"/>
      <c r="P89" s="36"/>
      <c r="Q89" s="58"/>
      <c r="R89" s="36"/>
      <c r="S89" s="57"/>
      <c r="T89" s="36"/>
    </row>
    <row r="90">
      <c r="E90" s="8">
        <v>4114.0</v>
      </c>
      <c r="F90" s="1" t="s">
        <v>274</v>
      </c>
      <c r="I90" s="1">
        <v>72.0</v>
      </c>
      <c r="O90" s="35"/>
      <c r="P90" s="43"/>
      <c r="Q90" s="36"/>
      <c r="R90" s="36"/>
      <c r="S90" s="36"/>
      <c r="T90" s="57"/>
    </row>
    <row r="91">
      <c r="E91" s="1" t="s">
        <v>97</v>
      </c>
      <c r="O91" s="36"/>
      <c r="P91" s="58"/>
      <c r="Q91" s="35"/>
      <c r="R91" s="36"/>
      <c r="S91" s="36"/>
      <c r="T91" s="35"/>
    </row>
    <row r="92">
      <c r="F92" s="22">
        <v>45875.0</v>
      </c>
      <c r="Q92" s="22"/>
    </row>
    <row r="93">
      <c r="D93" s="52">
        <v>4556.0</v>
      </c>
      <c r="F93" s="1" t="s">
        <v>275</v>
      </c>
      <c r="H93" s="1">
        <v>102.0</v>
      </c>
    </row>
    <row r="94">
      <c r="D94" s="30"/>
      <c r="E94" s="32">
        <v>512.0</v>
      </c>
      <c r="F94" s="32" t="s">
        <v>29</v>
      </c>
      <c r="G94" s="30"/>
      <c r="H94" s="30"/>
      <c r="I94" s="32">
        <v>102.0</v>
      </c>
      <c r="P94" s="2"/>
    </row>
    <row r="95">
      <c r="E95" s="1" t="s">
        <v>276</v>
      </c>
      <c r="F95" s="22"/>
    </row>
    <row r="96">
      <c r="F96" s="22">
        <v>45890.0</v>
      </c>
      <c r="Q96" s="22"/>
    </row>
    <row r="97">
      <c r="D97" s="43">
        <v>2051.0</v>
      </c>
      <c r="E97" s="36"/>
      <c r="F97" s="42" t="s">
        <v>68</v>
      </c>
      <c r="G97" s="36"/>
      <c r="H97" s="57">
        <v>167.67</v>
      </c>
      <c r="I97" s="36"/>
      <c r="O97" s="2"/>
    </row>
    <row r="98">
      <c r="D98" s="36"/>
      <c r="E98" s="4">
        <v>4016.0</v>
      </c>
      <c r="F98" s="58" t="s">
        <v>70</v>
      </c>
      <c r="G98" s="36"/>
      <c r="H98" s="36"/>
      <c r="I98" s="57">
        <v>167.67</v>
      </c>
      <c r="P98" s="1"/>
      <c r="Q98" s="1"/>
      <c r="T98" s="1"/>
    </row>
    <row r="99">
      <c r="D99" s="36"/>
      <c r="E99" s="58" t="s">
        <v>71</v>
      </c>
      <c r="F99" s="36"/>
      <c r="G99" s="36"/>
      <c r="H99" s="36"/>
      <c r="I99" s="36"/>
    </row>
    <row r="100">
      <c r="D100" s="36"/>
      <c r="E100" s="36"/>
      <c r="F100" s="22">
        <v>45890.0</v>
      </c>
      <c r="G100" s="36"/>
      <c r="H100" s="36"/>
      <c r="I100" s="36"/>
      <c r="Q100" s="22"/>
    </row>
    <row r="101">
      <c r="D101" s="4">
        <v>4016.0</v>
      </c>
      <c r="E101" s="36"/>
      <c r="F101" s="58" t="s">
        <v>70</v>
      </c>
      <c r="G101" s="36"/>
      <c r="H101" s="57">
        <v>167.67</v>
      </c>
      <c r="I101" s="36"/>
      <c r="O101" s="1"/>
      <c r="Q101" s="1"/>
      <c r="S101" s="1"/>
    </row>
    <row r="102">
      <c r="D102" s="59"/>
      <c r="E102" s="47">
        <v>512.0</v>
      </c>
      <c r="F102" s="45" t="s">
        <v>29</v>
      </c>
      <c r="G102" s="45"/>
      <c r="H102" s="45"/>
      <c r="I102" s="60">
        <v>167.67</v>
      </c>
      <c r="P102" s="12"/>
    </row>
    <row r="103">
      <c r="D103" s="36"/>
      <c r="E103" s="58" t="s">
        <v>277</v>
      </c>
      <c r="F103" s="35"/>
      <c r="G103" s="36"/>
      <c r="H103" s="36"/>
      <c r="I103" s="35"/>
    </row>
    <row r="104">
      <c r="F104" s="22">
        <v>45893.0</v>
      </c>
      <c r="Q104" s="22"/>
    </row>
    <row r="105">
      <c r="D105" s="1">
        <v>606.0</v>
      </c>
      <c r="F105" s="1" t="s">
        <v>27</v>
      </c>
      <c r="H105" s="1">
        <v>10.13</v>
      </c>
      <c r="O105" s="53"/>
    </row>
    <row r="106">
      <c r="E106" s="2">
        <v>4017.0</v>
      </c>
      <c r="F106" s="1" t="s">
        <v>256</v>
      </c>
      <c r="I106" s="1">
        <v>10.13</v>
      </c>
      <c r="P106" s="1"/>
      <c r="Q106" s="1"/>
      <c r="T106" s="1"/>
    </row>
    <row r="107">
      <c r="E107" s="1" t="s">
        <v>278</v>
      </c>
      <c r="Q107" s="22"/>
    </row>
    <row r="108">
      <c r="F108" s="22">
        <v>45893.0</v>
      </c>
    </row>
    <row r="109">
      <c r="D109" s="2">
        <v>4017.0</v>
      </c>
      <c r="F109" s="1" t="s">
        <v>256</v>
      </c>
      <c r="H109" s="1">
        <v>10.13</v>
      </c>
    </row>
    <row r="110">
      <c r="D110" s="30"/>
      <c r="E110" s="32">
        <v>512.0</v>
      </c>
      <c r="F110" s="32" t="s">
        <v>29</v>
      </c>
      <c r="G110" s="30"/>
      <c r="H110" s="30"/>
      <c r="I110" s="32">
        <v>10.13</v>
      </c>
    </row>
    <row r="111">
      <c r="E111" s="1" t="s">
        <v>206</v>
      </c>
    </row>
    <row r="112">
      <c r="F112" s="22">
        <v>45895.0</v>
      </c>
    </row>
    <row r="113">
      <c r="D113" s="25">
        <v>512.0</v>
      </c>
      <c r="E113" s="24"/>
      <c r="F113" s="25" t="s">
        <v>29</v>
      </c>
      <c r="G113" s="24"/>
      <c r="H113" s="25">
        <v>50.0</v>
      </c>
      <c r="I113" s="24"/>
    </row>
    <row r="114">
      <c r="E114" s="12">
        <v>4119.0</v>
      </c>
      <c r="F114" s="1" t="s">
        <v>117</v>
      </c>
      <c r="I114" s="1">
        <v>50.0</v>
      </c>
    </row>
    <row r="115">
      <c r="E115" s="1" t="s">
        <v>97</v>
      </c>
    </row>
    <row r="116">
      <c r="F116" s="22">
        <v>45895.0</v>
      </c>
    </row>
    <row r="117">
      <c r="D117" s="53">
        <v>4555.0</v>
      </c>
      <c r="F117" s="1" t="s">
        <v>138</v>
      </c>
      <c r="H117" s="1">
        <v>65.0</v>
      </c>
    </row>
    <row r="118">
      <c r="D118" s="30"/>
      <c r="E118" s="32">
        <v>512.0</v>
      </c>
      <c r="F118" s="32" t="s">
        <v>29</v>
      </c>
      <c r="G118" s="30"/>
      <c r="H118" s="30"/>
      <c r="I118" s="32">
        <v>65.0</v>
      </c>
    </row>
    <row r="119">
      <c r="E119" s="1" t="s">
        <v>279</v>
      </c>
      <c r="F119" s="22"/>
    </row>
    <row r="120">
      <c r="D120" s="36"/>
      <c r="E120" s="36"/>
      <c r="F120" s="56">
        <v>45899.0</v>
      </c>
      <c r="G120" s="36"/>
      <c r="H120" s="36"/>
      <c r="I120" s="36"/>
    </row>
    <row r="121">
      <c r="D121" s="43">
        <v>2051.0</v>
      </c>
      <c r="E121" s="36"/>
      <c r="F121" s="36" t="s">
        <v>68</v>
      </c>
      <c r="G121" s="36"/>
      <c r="H121" s="57">
        <v>22.35</v>
      </c>
      <c r="I121" s="36"/>
    </row>
    <row r="122">
      <c r="D122" s="36"/>
      <c r="E122" s="70">
        <v>4012.0</v>
      </c>
      <c r="F122" s="36" t="s">
        <v>119</v>
      </c>
      <c r="G122" s="36"/>
      <c r="H122" s="36"/>
      <c r="I122" s="57">
        <v>22.35</v>
      </c>
    </row>
    <row r="123">
      <c r="D123" s="36"/>
      <c r="E123" s="36" t="s">
        <v>120</v>
      </c>
      <c r="F123" s="36"/>
      <c r="G123" s="36"/>
      <c r="H123" s="36"/>
      <c r="I123" s="36"/>
    </row>
    <row r="124">
      <c r="D124" s="36"/>
      <c r="E124" s="36"/>
      <c r="F124" s="56">
        <v>45899.0</v>
      </c>
      <c r="G124" s="36"/>
      <c r="H124" s="36"/>
      <c r="I124" s="36"/>
    </row>
    <row r="125">
      <c r="D125" s="70">
        <v>4012.0</v>
      </c>
      <c r="E125" s="36"/>
      <c r="F125" s="36" t="s">
        <v>119</v>
      </c>
      <c r="G125" s="36"/>
      <c r="H125" s="57">
        <v>22.35</v>
      </c>
      <c r="I125" s="36"/>
    </row>
    <row r="126">
      <c r="D126" s="45"/>
      <c r="E126" s="47">
        <v>512.0</v>
      </c>
      <c r="F126" s="45" t="s">
        <v>29</v>
      </c>
      <c r="G126" s="45"/>
      <c r="H126" s="45"/>
      <c r="I126" s="60">
        <v>22.35</v>
      </c>
    </row>
    <row r="127">
      <c r="D127" s="36"/>
      <c r="E127" s="36" t="s">
        <v>121</v>
      </c>
      <c r="F127" s="36"/>
      <c r="G127" s="36"/>
      <c r="H127" s="36"/>
      <c r="I127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62</v>
      </c>
    </row>
    <row r="2">
      <c r="A2" s="2">
        <v>4111.0</v>
      </c>
      <c r="B2" s="1" t="s">
        <v>280</v>
      </c>
      <c r="D2" s="3">
        <v>4551.0</v>
      </c>
      <c r="E2" s="1" t="s">
        <v>4</v>
      </c>
      <c r="G2" s="9">
        <v>4011.0</v>
      </c>
      <c r="H2" s="1" t="s">
        <v>172</v>
      </c>
    </row>
    <row r="3">
      <c r="A3" s="5">
        <v>4112.0</v>
      </c>
      <c r="B3" s="1" t="s">
        <v>281</v>
      </c>
      <c r="D3" s="6">
        <v>4552.0</v>
      </c>
      <c r="E3" s="1" t="s">
        <v>7</v>
      </c>
      <c r="G3" s="49">
        <v>4012.0</v>
      </c>
      <c r="H3" s="1" t="s">
        <v>64</v>
      </c>
    </row>
    <row r="4">
      <c r="A4" s="7">
        <v>4113.0</v>
      </c>
      <c r="B4" s="1" t="s">
        <v>282</v>
      </c>
      <c r="D4" s="53">
        <v>4555.0</v>
      </c>
      <c r="E4" s="1" t="s">
        <v>283</v>
      </c>
      <c r="G4" s="65">
        <v>4013.0</v>
      </c>
      <c r="H4" s="1" t="s">
        <v>149</v>
      </c>
    </row>
    <row r="5">
      <c r="A5" s="8">
        <v>4114.0</v>
      </c>
      <c r="B5" s="1" t="s">
        <v>217</v>
      </c>
      <c r="D5" s="52">
        <v>4556.0</v>
      </c>
      <c r="E5" s="1" t="s">
        <v>259</v>
      </c>
      <c r="G5" s="4">
        <v>4016.0</v>
      </c>
      <c r="H5" s="1" t="s">
        <v>5</v>
      </c>
      <c r="N5" s="1" t="s">
        <v>4</v>
      </c>
      <c r="Q5" s="1" t="s">
        <v>284</v>
      </c>
      <c r="R5" s="1" t="s">
        <v>259</v>
      </c>
      <c r="S5" s="1" t="s">
        <v>283</v>
      </c>
    </row>
    <row r="6">
      <c r="A6" s="9">
        <v>4115.0</v>
      </c>
      <c r="B6" s="1" t="s">
        <v>285</v>
      </c>
      <c r="D6" s="50">
        <v>4554.0</v>
      </c>
      <c r="E6" s="1" t="s">
        <v>284</v>
      </c>
      <c r="G6" s="2">
        <v>4017.0</v>
      </c>
      <c r="H6" s="1" t="s">
        <v>218</v>
      </c>
      <c r="N6" s="1">
        <v>512.0</v>
      </c>
      <c r="Q6" s="1">
        <v>512.0</v>
      </c>
      <c r="R6" s="1">
        <v>512.0</v>
      </c>
      <c r="S6" s="1">
        <v>512.0</v>
      </c>
    </row>
    <row r="7">
      <c r="A7" s="4">
        <v>4116.0</v>
      </c>
      <c r="B7" s="1" t="s">
        <v>219</v>
      </c>
      <c r="D7" s="77">
        <v>4553.0</v>
      </c>
      <c r="E7" s="1" t="s">
        <v>220</v>
      </c>
      <c r="G7" s="54">
        <v>4018.0</v>
      </c>
      <c r="H7" s="1" t="s">
        <v>286</v>
      </c>
      <c r="M7" s="1" t="s">
        <v>23</v>
      </c>
      <c r="N7" s="15"/>
      <c r="O7" s="1" t="s">
        <v>24</v>
      </c>
      <c r="Q7" s="1" t="s">
        <v>23</v>
      </c>
      <c r="R7" s="1" t="s">
        <v>23</v>
      </c>
      <c r="S7" s="1" t="s">
        <v>23</v>
      </c>
    </row>
    <row r="8">
      <c r="A8" s="53">
        <v>4117.0</v>
      </c>
      <c r="B8" s="1" t="s">
        <v>129</v>
      </c>
      <c r="D8" s="66">
        <v>4557.0</v>
      </c>
      <c r="E8" s="1" t="s">
        <v>221</v>
      </c>
      <c r="G8" s="48"/>
      <c r="M8" s="28">
        <f>H38</f>
        <v>23.92</v>
      </c>
      <c r="O8" s="28">
        <f>I27</f>
        <v>8.92</v>
      </c>
      <c r="Q8" s="28">
        <f>I135</f>
        <v>42.5</v>
      </c>
      <c r="R8" s="28">
        <f>I123</f>
        <v>42.5</v>
      </c>
      <c r="S8" s="28">
        <f>I115</f>
        <v>36</v>
      </c>
    </row>
    <row r="9">
      <c r="A9" s="11">
        <v>4118.0</v>
      </c>
      <c r="B9" s="1" t="s">
        <v>174</v>
      </c>
      <c r="M9" s="28">
        <f>H50</f>
        <v>520</v>
      </c>
      <c r="O9" s="28">
        <f>I59</f>
        <v>8</v>
      </c>
    </row>
    <row r="10">
      <c r="A10" s="12">
        <v>4119.0</v>
      </c>
      <c r="B10" s="1" t="s">
        <v>18</v>
      </c>
      <c r="M10" s="28">
        <f>H86</f>
        <v>18</v>
      </c>
      <c r="O10" s="28">
        <f>I67</f>
        <v>10.2</v>
      </c>
    </row>
    <row r="11">
      <c r="A11" s="13">
        <v>41110.0</v>
      </c>
      <c r="B11" s="1" t="s">
        <v>175</v>
      </c>
      <c r="M11" s="28">
        <f>H98</f>
        <v>27</v>
      </c>
      <c r="O11" s="28">
        <f>I75</f>
        <v>38.34</v>
      </c>
    </row>
    <row r="12">
      <c r="A12" s="14">
        <v>41111.0</v>
      </c>
      <c r="B12" s="1" t="s">
        <v>260</v>
      </c>
      <c r="M12" s="28">
        <f>H110</f>
        <v>400</v>
      </c>
      <c r="O12" s="28">
        <f>I95</f>
        <v>12.74</v>
      </c>
    </row>
    <row r="13">
      <c r="M13" s="28">
        <f>H118</f>
        <v>23.92</v>
      </c>
      <c r="O13" s="28">
        <f>I115</f>
        <v>36</v>
      </c>
    </row>
    <row r="14">
      <c r="M14" s="28">
        <f>H130</f>
        <v>50</v>
      </c>
      <c r="N14" s="15"/>
      <c r="O14" s="28">
        <f>I123</f>
        <v>42.5</v>
      </c>
    </row>
    <row r="15">
      <c r="O15" s="28">
        <f>I135</f>
        <v>42.5</v>
      </c>
    </row>
    <row r="16">
      <c r="O16" s="28">
        <f>I143</f>
        <v>22.25</v>
      </c>
    </row>
    <row r="18">
      <c r="M18" s="1" t="s">
        <v>69</v>
      </c>
      <c r="O18" s="1" t="s">
        <v>69</v>
      </c>
      <c r="Q18" s="1" t="s">
        <v>69</v>
      </c>
      <c r="R18" s="1" t="s">
        <v>69</v>
      </c>
      <c r="S18" s="1" t="s">
        <v>69</v>
      </c>
    </row>
    <row r="19">
      <c r="F19" s="55" t="s">
        <v>66</v>
      </c>
      <c r="M19" s="28">
        <f>SUM(M8:M16)</f>
        <v>1062.84</v>
      </c>
      <c r="O19" s="28">
        <f>SUM(O8:O16)</f>
        <v>221.45</v>
      </c>
      <c r="Q19" s="28">
        <f t="shared" ref="Q19:S19" si="1">Q8</f>
        <v>42.5</v>
      </c>
      <c r="R19" s="28">
        <f t="shared" si="1"/>
        <v>42.5</v>
      </c>
      <c r="S19" s="28">
        <f t="shared" si="1"/>
        <v>36</v>
      </c>
    </row>
    <row r="20">
      <c r="F20" s="1" t="s">
        <v>287</v>
      </c>
    </row>
    <row r="21">
      <c r="F21" s="22">
        <v>45902.0</v>
      </c>
      <c r="N21" s="1" t="s">
        <v>69</v>
      </c>
    </row>
    <row r="22">
      <c r="D22" s="1">
        <v>606.0</v>
      </c>
      <c r="F22" s="1" t="s">
        <v>27</v>
      </c>
      <c r="H22" s="1">
        <v>8.92</v>
      </c>
      <c r="N22" s="28">
        <f>M19-O19</f>
        <v>841.39</v>
      </c>
    </row>
    <row r="23">
      <c r="E23" s="2">
        <v>4017.0</v>
      </c>
      <c r="F23" s="1" t="s">
        <v>256</v>
      </c>
      <c r="I23" s="1">
        <v>8.92</v>
      </c>
    </row>
    <row r="24">
      <c r="E24" s="1" t="s">
        <v>288</v>
      </c>
    </row>
    <row r="25">
      <c r="F25" s="22">
        <v>45902.0</v>
      </c>
    </row>
    <row r="26">
      <c r="D26" s="2">
        <v>4017.0</v>
      </c>
      <c r="F26" s="1" t="s">
        <v>256</v>
      </c>
      <c r="H26" s="1">
        <v>8.92</v>
      </c>
      <c r="L26" s="1" t="s">
        <v>80</v>
      </c>
      <c r="M26" s="78">
        <v>0.15</v>
      </c>
      <c r="O26" s="1" t="s">
        <v>42</v>
      </c>
    </row>
    <row r="27">
      <c r="D27" s="30"/>
      <c r="E27" s="32">
        <v>512.0</v>
      </c>
      <c r="F27" s="32" t="s">
        <v>29</v>
      </c>
      <c r="G27" s="30"/>
      <c r="H27" s="30"/>
      <c r="I27" s="32">
        <v>8.92</v>
      </c>
      <c r="L27" s="1" t="s">
        <v>83</v>
      </c>
      <c r="M27" s="28">
        <f>I83-I115</f>
        <v>9</v>
      </c>
      <c r="O27" s="28">
        <f>I27</f>
        <v>8.92</v>
      </c>
    </row>
    <row r="28">
      <c r="E28" s="1" t="s">
        <v>206</v>
      </c>
      <c r="M28" s="28">
        <f>I35-I123</f>
        <v>5.34</v>
      </c>
      <c r="O28" s="28">
        <f>I59</f>
        <v>8</v>
      </c>
    </row>
    <row r="29">
      <c r="E29" s="1"/>
      <c r="F29" s="22">
        <v>45907.0</v>
      </c>
      <c r="M29" s="28">
        <f>I131-I135</f>
        <v>7.5</v>
      </c>
      <c r="O29" s="28">
        <f>I67</f>
        <v>10.2</v>
      </c>
    </row>
    <row r="30">
      <c r="D30" s="2">
        <v>4191.0</v>
      </c>
      <c r="F30" s="1" t="s">
        <v>289</v>
      </c>
      <c r="H30" s="1">
        <v>23.92</v>
      </c>
      <c r="O30" s="28">
        <f>I75</f>
        <v>38.34</v>
      </c>
    </row>
    <row r="31">
      <c r="E31" s="1">
        <v>706.0</v>
      </c>
      <c r="F31" s="1" t="s">
        <v>27</v>
      </c>
      <c r="I31" s="1">
        <v>23.92</v>
      </c>
      <c r="L31" s="1" t="s">
        <v>69</v>
      </c>
      <c r="M31" s="79">
        <f>SUM(M27:M29)</f>
        <v>21.84</v>
      </c>
      <c r="O31" s="28">
        <f>I95</f>
        <v>12.74</v>
      </c>
    </row>
    <row r="32">
      <c r="E32" s="1" t="s">
        <v>290</v>
      </c>
      <c r="O32" s="28">
        <f>I143</f>
        <v>22.25</v>
      </c>
    </row>
    <row r="33">
      <c r="E33" s="1"/>
      <c r="F33" s="22">
        <v>45907.0</v>
      </c>
    </row>
    <row r="34">
      <c r="D34" s="2">
        <v>4111.0</v>
      </c>
      <c r="F34" s="1" t="s">
        <v>291</v>
      </c>
      <c r="H34" s="1">
        <v>47.84</v>
      </c>
      <c r="O34" s="1" t="s">
        <v>69</v>
      </c>
    </row>
    <row r="35">
      <c r="E35" s="1">
        <v>706.0</v>
      </c>
      <c r="F35" s="1" t="s">
        <v>27</v>
      </c>
      <c r="I35" s="1">
        <v>47.84</v>
      </c>
      <c r="O35" s="28">
        <f>SUM(O27:O32)</f>
        <v>100.45</v>
      </c>
    </row>
    <row r="36">
      <c r="E36" s="1" t="s">
        <v>292</v>
      </c>
    </row>
    <row r="37">
      <c r="F37" s="22">
        <v>45907.0</v>
      </c>
    </row>
    <row r="38">
      <c r="D38" s="25">
        <v>512.0</v>
      </c>
      <c r="E38" s="24"/>
      <c r="F38" s="25" t="s">
        <v>29</v>
      </c>
      <c r="G38" s="24"/>
      <c r="H38" s="25">
        <v>23.92</v>
      </c>
      <c r="I38" s="24"/>
    </row>
    <row r="39">
      <c r="E39" s="2">
        <v>4191.0</v>
      </c>
      <c r="F39" s="1" t="s">
        <v>289</v>
      </c>
      <c r="I39" s="1">
        <v>23.92</v>
      </c>
    </row>
    <row r="40">
      <c r="E40" s="1" t="s">
        <v>75</v>
      </c>
    </row>
    <row r="41">
      <c r="E41" s="1"/>
      <c r="F41" s="22">
        <v>45909.0</v>
      </c>
    </row>
    <row r="42">
      <c r="D42" s="8">
        <v>4194.0</v>
      </c>
      <c r="F42" s="1" t="s">
        <v>252</v>
      </c>
      <c r="H42" s="1">
        <v>520.0</v>
      </c>
    </row>
    <row r="43">
      <c r="E43" s="1">
        <v>706.0</v>
      </c>
      <c r="F43" s="1" t="s">
        <v>27</v>
      </c>
      <c r="I43" s="1">
        <v>520.0</v>
      </c>
    </row>
    <row r="44">
      <c r="E44" s="1" t="s">
        <v>253</v>
      </c>
      <c r="F44" s="22"/>
    </row>
    <row r="45">
      <c r="E45" s="1"/>
      <c r="F45" s="22">
        <v>45909.0</v>
      </c>
    </row>
    <row r="46">
      <c r="D46" s="8">
        <v>4114.0</v>
      </c>
      <c r="F46" s="1" t="s">
        <v>254</v>
      </c>
      <c r="H46" s="1">
        <v>1400.0</v>
      </c>
    </row>
    <row r="47">
      <c r="E47" s="1">
        <v>706.0</v>
      </c>
      <c r="F47" s="1" t="s">
        <v>27</v>
      </c>
      <c r="I47" s="1">
        <v>1400.0</v>
      </c>
    </row>
    <row r="48">
      <c r="E48" s="1" t="s">
        <v>293</v>
      </c>
    </row>
    <row r="49">
      <c r="F49" s="22">
        <v>45909.0</v>
      </c>
    </row>
    <row r="50">
      <c r="D50" s="25">
        <v>512.0</v>
      </c>
      <c r="E50" s="24"/>
      <c r="F50" s="25" t="s">
        <v>29</v>
      </c>
      <c r="G50" s="24"/>
      <c r="H50" s="25">
        <v>520.0</v>
      </c>
      <c r="I50" s="24"/>
    </row>
    <row r="51">
      <c r="E51" s="8">
        <v>4194.0</v>
      </c>
      <c r="F51" s="1" t="s">
        <v>252</v>
      </c>
      <c r="I51" s="1">
        <v>520.0</v>
      </c>
    </row>
    <row r="52">
      <c r="E52" s="1" t="s">
        <v>75</v>
      </c>
    </row>
    <row r="53">
      <c r="F53" s="22">
        <v>45909.0</v>
      </c>
    </row>
    <row r="54">
      <c r="D54" s="1">
        <v>606.0</v>
      </c>
      <c r="F54" s="1" t="s">
        <v>27</v>
      </c>
      <c r="H54" s="1">
        <v>8.0</v>
      </c>
    </row>
    <row r="55">
      <c r="E55" s="9">
        <v>4015.0</v>
      </c>
      <c r="F55" s="1" t="s">
        <v>213</v>
      </c>
      <c r="I55" s="1">
        <v>8.0</v>
      </c>
    </row>
    <row r="56">
      <c r="E56" s="1" t="s">
        <v>214</v>
      </c>
    </row>
    <row r="57">
      <c r="F57" s="22">
        <v>45909.0</v>
      </c>
    </row>
    <row r="58">
      <c r="D58" s="9">
        <v>4015.0</v>
      </c>
      <c r="F58" s="1" t="s">
        <v>213</v>
      </c>
      <c r="H58" s="1">
        <v>8.0</v>
      </c>
    </row>
    <row r="59">
      <c r="D59" s="30"/>
      <c r="E59" s="32">
        <v>512.0</v>
      </c>
      <c r="F59" s="32" t="s">
        <v>29</v>
      </c>
      <c r="G59" s="30"/>
      <c r="H59" s="30"/>
      <c r="I59" s="32">
        <v>8.0</v>
      </c>
    </row>
    <row r="60">
      <c r="E60" s="1" t="s">
        <v>206</v>
      </c>
    </row>
    <row r="61">
      <c r="F61" s="22">
        <v>45911.0</v>
      </c>
    </row>
    <row r="62">
      <c r="D62" s="1">
        <v>606.0</v>
      </c>
      <c r="F62" s="1" t="s">
        <v>27</v>
      </c>
      <c r="H62" s="1">
        <v>10.2</v>
      </c>
    </row>
    <row r="63">
      <c r="E63" s="54">
        <v>4018.0</v>
      </c>
      <c r="F63" s="1" t="s">
        <v>294</v>
      </c>
      <c r="I63" s="1">
        <v>10.2</v>
      </c>
    </row>
    <row r="64">
      <c r="E64" s="1" t="s">
        <v>295</v>
      </c>
    </row>
    <row r="65">
      <c r="F65" s="22">
        <v>45911.0</v>
      </c>
    </row>
    <row r="66">
      <c r="D66" s="54">
        <v>4018.0</v>
      </c>
      <c r="F66" s="1" t="s">
        <v>294</v>
      </c>
      <c r="H66" s="1">
        <v>10.2</v>
      </c>
    </row>
    <row r="67">
      <c r="D67" s="30"/>
      <c r="E67" s="32">
        <v>512.0</v>
      </c>
      <c r="F67" s="32" t="s">
        <v>29</v>
      </c>
      <c r="G67" s="30"/>
      <c r="H67" s="30"/>
      <c r="I67" s="32">
        <v>10.2</v>
      </c>
    </row>
    <row r="68">
      <c r="E68" s="1" t="s">
        <v>206</v>
      </c>
    </row>
    <row r="69">
      <c r="F69" s="22">
        <v>45911.0</v>
      </c>
    </row>
    <row r="70">
      <c r="D70" s="1">
        <v>606.0</v>
      </c>
      <c r="F70" s="1" t="s">
        <v>27</v>
      </c>
      <c r="H70" s="1">
        <v>38.34</v>
      </c>
    </row>
    <row r="71">
      <c r="E71" s="65">
        <v>4013.0</v>
      </c>
      <c r="F71" s="1" t="s">
        <v>232</v>
      </c>
      <c r="I71" s="1">
        <v>38.34</v>
      </c>
    </row>
    <row r="72">
      <c r="E72" s="1" t="s">
        <v>296</v>
      </c>
    </row>
    <row r="73">
      <c r="F73" s="22">
        <v>45911.0</v>
      </c>
    </row>
    <row r="74">
      <c r="D74" s="65">
        <v>4013.0</v>
      </c>
      <c r="F74" s="1" t="s">
        <v>232</v>
      </c>
      <c r="H74" s="1">
        <v>38.34</v>
      </c>
    </row>
    <row r="75">
      <c r="D75" s="30"/>
      <c r="E75" s="32">
        <v>512.0</v>
      </c>
      <c r="F75" s="32" t="s">
        <v>29</v>
      </c>
      <c r="G75" s="30"/>
      <c r="H75" s="30"/>
      <c r="I75" s="32">
        <v>38.34</v>
      </c>
    </row>
    <row r="76">
      <c r="E76" s="1" t="s">
        <v>206</v>
      </c>
    </row>
    <row r="77">
      <c r="E77" s="1"/>
      <c r="F77" s="22">
        <v>45916.0</v>
      </c>
    </row>
    <row r="78">
      <c r="D78" s="5">
        <v>4192.0</v>
      </c>
      <c r="F78" s="1" t="s">
        <v>297</v>
      </c>
      <c r="H78" s="1">
        <v>18.0</v>
      </c>
    </row>
    <row r="79">
      <c r="E79" s="1">
        <v>706.0</v>
      </c>
      <c r="F79" s="1" t="s">
        <v>27</v>
      </c>
      <c r="I79" s="1">
        <v>18.0</v>
      </c>
    </row>
    <row r="80">
      <c r="E80" s="1" t="s">
        <v>253</v>
      </c>
      <c r="F80" s="22"/>
    </row>
    <row r="81">
      <c r="E81" s="1"/>
      <c r="F81" s="22">
        <v>45916.0</v>
      </c>
    </row>
    <row r="82">
      <c r="D82" s="5">
        <v>4112.0</v>
      </c>
      <c r="F82" s="1" t="s">
        <v>298</v>
      </c>
      <c r="H82" s="1">
        <v>45.0</v>
      </c>
    </row>
    <row r="83">
      <c r="E83" s="1">
        <v>706.0</v>
      </c>
      <c r="F83" s="1" t="s">
        <v>27</v>
      </c>
      <c r="I83" s="1">
        <v>45.0</v>
      </c>
    </row>
    <row r="84">
      <c r="E84" s="1" t="s">
        <v>299</v>
      </c>
    </row>
    <row r="85">
      <c r="F85" s="22">
        <v>45916.0</v>
      </c>
    </row>
    <row r="86">
      <c r="D86" s="25">
        <v>512.0</v>
      </c>
      <c r="E86" s="24"/>
      <c r="F86" s="25" t="s">
        <v>29</v>
      </c>
      <c r="G86" s="24"/>
      <c r="H86" s="25">
        <v>18.0</v>
      </c>
      <c r="I86" s="24"/>
    </row>
    <row r="87">
      <c r="E87" s="5">
        <v>4192.0</v>
      </c>
      <c r="F87" s="1" t="s">
        <v>297</v>
      </c>
      <c r="I87" s="1">
        <v>18.0</v>
      </c>
    </row>
    <row r="88">
      <c r="E88" s="1" t="s">
        <v>75</v>
      </c>
    </row>
    <row r="89">
      <c r="F89" s="22">
        <v>45922.0</v>
      </c>
    </row>
    <row r="90">
      <c r="D90" s="1">
        <v>606.0</v>
      </c>
      <c r="F90" s="1" t="s">
        <v>27</v>
      </c>
      <c r="H90" s="1">
        <v>12.74</v>
      </c>
    </row>
    <row r="91">
      <c r="E91" s="65">
        <v>4013.0</v>
      </c>
      <c r="F91" s="1" t="s">
        <v>232</v>
      </c>
      <c r="I91" s="1">
        <v>12.74</v>
      </c>
    </row>
    <row r="92">
      <c r="E92" s="1" t="s">
        <v>300</v>
      </c>
    </row>
    <row r="93">
      <c r="F93" s="22">
        <v>45922.0</v>
      </c>
    </row>
    <row r="94">
      <c r="D94" s="65">
        <v>4013.0</v>
      </c>
      <c r="F94" s="1" t="s">
        <v>232</v>
      </c>
      <c r="H94" s="1">
        <v>12.74</v>
      </c>
    </row>
    <row r="95">
      <c r="D95" s="30"/>
      <c r="E95" s="32">
        <v>512.0</v>
      </c>
      <c r="F95" s="32" t="s">
        <v>29</v>
      </c>
      <c r="G95" s="30"/>
      <c r="H95" s="30"/>
      <c r="I95" s="32">
        <v>12.74</v>
      </c>
    </row>
    <row r="96">
      <c r="E96" s="1" t="s">
        <v>206</v>
      </c>
    </row>
    <row r="97">
      <c r="F97" s="22">
        <v>45922.0</v>
      </c>
    </row>
    <row r="98">
      <c r="D98" s="25">
        <v>512.0</v>
      </c>
      <c r="E98" s="24"/>
      <c r="F98" s="25" t="s">
        <v>29</v>
      </c>
      <c r="G98" s="24"/>
      <c r="H98" s="25">
        <v>27.0</v>
      </c>
      <c r="I98" s="24"/>
    </row>
    <row r="99">
      <c r="E99" s="5">
        <v>4112.0</v>
      </c>
      <c r="F99" s="1" t="s">
        <v>298</v>
      </c>
      <c r="I99" s="1">
        <v>27.0</v>
      </c>
    </row>
    <row r="100">
      <c r="E100" s="1" t="s">
        <v>97</v>
      </c>
    </row>
    <row r="101">
      <c r="E101" s="1"/>
      <c r="F101" s="22">
        <v>45923.0</v>
      </c>
    </row>
    <row r="102">
      <c r="D102" s="7">
        <v>4193.0</v>
      </c>
      <c r="F102" s="1" t="s">
        <v>301</v>
      </c>
      <c r="H102" s="1">
        <v>400.0</v>
      </c>
    </row>
    <row r="103">
      <c r="E103" s="1">
        <v>706.0</v>
      </c>
      <c r="F103" s="1" t="s">
        <v>27</v>
      </c>
      <c r="I103" s="1">
        <v>400.0</v>
      </c>
    </row>
    <row r="104">
      <c r="E104" s="1" t="s">
        <v>253</v>
      </c>
      <c r="F104" s="22"/>
    </row>
    <row r="105">
      <c r="E105" s="1"/>
      <c r="F105" s="22">
        <v>45923.0</v>
      </c>
    </row>
    <row r="106">
      <c r="D106" s="7">
        <v>4113.0</v>
      </c>
      <c r="F106" s="1" t="s">
        <v>302</v>
      </c>
      <c r="H106" s="1">
        <v>1000.0</v>
      </c>
    </row>
    <row r="107">
      <c r="E107" s="1">
        <v>706.0</v>
      </c>
      <c r="F107" s="1" t="s">
        <v>27</v>
      </c>
      <c r="I107" s="1">
        <v>1000.0</v>
      </c>
    </row>
    <row r="108">
      <c r="E108" s="1" t="s">
        <v>303</v>
      </c>
    </row>
    <row r="109">
      <c r="F109" s="22">
        <v>45923.0</v>
      </c>
    </row>
    <row r="110">
      <c r="D110" s="25">
        <v>512.0</v>
      </c>
      <c r="E110" s="24"/>
      <c r="F110" s="25" t="s">
        <v>29</v>
      </c>
      <c r="G110" s="24"/>
      <c r="H110" s="25">
        <v>400.0</v>
      </c>
      <c r="I110" s="24"/>
    </row>
    <row r="111">
      <c r="E111" s="7">
        <v>4193.0</v>
      </c>
      <c r="F111" s="1" t="s">
        <v>301</v>
      </c>
      <c r="I111" s="1">
        <v>400.0</v>
      </c>
    </row>
    <row r="112">
      <c r="E112" s="1" t="s">
        <v>75</v>
      </c>
    </row>
    <row r="113">
      <c r="F113" s="22">
        <v>45923.0</v>
      </c>
    </row>
    <row r="114">
      <c r="D114" s="53">
        <v>4555.0</v>
      </c>
      <c r="F114" s="1" t="s">
        <v>304</v>
      </c>
      <c r="H114" s="1">
        <v>36.0</v>
      </c>
    </row>
    <row r="115">
      <c r="D115" s="30"/>
      <c r="E115" s="32">
        <v>512.0</v>
      </c>
      <c r="F115" s="32" t="s">
        <v>29</v>
      </c>
      <c r="G115" s="30"/>
      <c r="H115" s="30"/>
      <c r="I115" s="32">
        <v>36.0</v>
      </c>
    </row>
    <row r="116">
      <c r="E116" s="1" t="s">
        <v>305</v>
      </c>
    </row>
    <row r="117">
      <c r="F117" s="22">
        <v>45922.0</v>
      </c>
    </row>
    <row r="118">
      <c r="D118" s="25">
        <v>512.0</v>
      </c>
      <c r="E118" s="24"/>
      <c r="F118" s="25" t="s">
        <v>29</v>
      </c>
      <c r="G118" s="24"/>
      <c r="H118" s="25">
        <v>23.92</v>
      </c>
      <c r="I118" s="24"/>
    </row>
    <row r="119">
      <c r="E119" s="2">
        <v>4111.0</v>
      </c>
      <c r="F119" s="1" t="s">
        <v>291</v>
      </c>
      <c r="I119" s="1">
        <v>23.92</v>
      </c>
    </row>
    <row r="120">
      <c r="E120" s="1" t="s">
        <v>97</v>
      </c>
    </row>
    <row r="121">
      <c r="F121" s="22">
        <v>45923.0</v>
      </c>
    </row>
    <row r="122">
      <c r="D122" s="52">
        <v>4556.0</v>
      </c>
      <c r="F122" s="1" t="s">
        <v>275</v>
      </c>
      <c r="H122" s="1">
        <v>42.5</v>
      </c>
    </row>
    <row r="123">
      <c r="D123" s="30"/>
      <c r="E123" s="32">
        <v>512.0</v>
      </c>
      <c r="F123" s="32" t="s">
        <v>29</v>
      </c>
      <c r="G123" s="30"/>
      <c r="H123" s="30"/>
      <c r="I123" s="32">
        <v>42.5</v>
      </c>
    </row>
    <row r="124">
      <c r="E124" s="1" t="s">
        <v>306</v>
      </c>
    </row>
    <row r="125">
      <c r="E125" s="1"/>
      <c r="F125" s="22">
        <v>45928.0</v>
      </c>
    </row>
    <row r="126">
      <c r="D126" s="9">
        <v>4115.0</v>
      </c>
      <c r="F126" s="1" t="s">
        <v>307</v>
      </c>
      <c r="H126" s="1">
        <v>50.0</v>
      </c>
    </row>
    <row r="127">
      <c r="E127" s="1">
        <v>706.0</v>
      </c>
      <c r="F127" s="1" t="s">
        <v>27</v>
      </c>
      <c r="I127" s="1">
        <v>50.0</v>
      </c>
    </row>
    <row r="128">
      <c r="E128" s="1" t="s">
        <v>308</v>
      </c>
    </row>
    <row r="129">
      <c r="F129" s="22">
        <v>45928.0</v>
      </c>
    </row>
    <row r="130">
      <c r="D130" s="25">
        <v>512.0</v>
      </c>
      <c r="E130" s="24"/>
      <c r="F130" s="25" t="s">
        <v>29</v>
      </c>
      <c r="G130" s="24"/>
      <c r="H130" s="25">
        <v>50.0</v>
      </c>
      <c r="I130" s="24"/>
    </row>
    <row r="131">
      <c r="E131" s="9">
        <v>4115.0</v>
      </c>
      <c r="F131" s="1" t="s">
        <v>307</v>
      </c>
      <c r="I131" s="1">
        <v>50.0</v>
      </c>
    </row>
    <row r="132">
      <c r="E132" s="1" t="s">
        <v>97</v>
      </c>
    </row>
    <row r="133">
      <c r="F133" s="22">
        <v>45923.0</v>
      </c>
    </row>
    <row r="134">
      <c r="D134" s="50">
        <v>4554.0</v>
      </c>
      <c r="F134" s="1" t="s">
        <v>309</v>
      </c>
      <c r="H134" s="1">
        <v>42.5</v>
      </c>
    </row>
    <row r="135">
      <c r="D135" s="30"/>
      <c r="E135" s="32">
        <v>512.0</v>
      </c>
      <c r="F135" s="32" t="s">
        <v>29</v>
      </c>
      <c r="G135" s="30"/>
      <c r="H135" s="30"/>
      <c r="I135" s="32">
        <v>42.5</v>
      </c>
    </row>
    <row r="136">
      <c r="E136" s="1" t="s">
        <v>310</v>
      </c>
    </row>
    <row r="137">
      <c r="D137" s="36"/>
      <c r="E137" s="36"/>
      <c r="F137" s="56">
        <v>45930.0</v>
      </c>
      <c r="G137" s="36"/>
      <c r="H137" s="36"/>
      <c r="I137" s="36"/>
    </row>
    <row r="138">
      <c r="D138" s="43">
        <v>2051.0</v>
      </c>
      <c r="E138" s="36"/>
      <c r="F138" s="36" t="s">
        <v>68</v>
      </c>
      <c r="G138" s="36"/>
      <c r="H138" s="57">
        <v>22.25</v>
      </c>
      <c r="I138" s="36"/>
    </row>
    <row r="139">
      <c r="D139" s="36"/>
      <c r="E139" s="70">
        <v>4012.0</v>
      </c>
      <c r="F139" s="36" t="s">
        <v>119</v>
      </c>
      <c r="G139" s="36"/>
      <c r="H139" s="36"/>
      <c r="I139" s="57">
        <v>22.25</v>
      </c>
    </row>
    <row r="140">
      <c r="D140" s="36"/>
      <c r="E140" s="36" t="s">
        <v>120</v>
      </c>
      <c r="F140" s="36"/>
      <c r="G140" s="36"/>
      <c r="H140" s="36"/>
      <c r="I140" s="36"/>
    </row>
    <row r="141">
      <c r="D141" s="36"/>
      <c r="E141" s="36"/>
      <c r="F141" s="56">
        <v>45930.0</v>
      </c>
      <c r="G141" s="36"/>
      <c r="H141" s="36"/>
      <c r="I141" s="36"/>
    </row>
    <row r="142">
      <c r="D142" s="70">
        <v>4012.0</v>
      </c>
      <c r="E142" s="36"/>
      <c r="F142" s="36" t="s">
        <v>119</v>
      </c>
      <c r="G142" s="36"/>
      <c r="H142" s="57">
        <v>22.25</v>
      </c>
      <c r="I142" s="36"/>
    </row>
    <row r="143">
      <c r="D143" s="45"/>
      <c r="E143" s="47">
        <v>512.0</v>
      </c>
      <c r="F143" s="45" t="s">
        <v>29</v>
      </c>
      <c r="G143" s="45"/>
      <c r="H143" s="45"/>
      <c r="I143" s="60">
        <v>22.25</v>
      </c>
    </row>
    <row r="144">
      <c r="D144" s="36"/>
      <c r="E144" s="36" t="s">
        <v>121</v>
      </c>
      <c r="F144" s="36"/>
      <c r="G144" s="36"/>
      <c r="H144" s="36"/>
      <c r="I144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1" t="s">
        <v>62</v>
      </c>
    </row>
    <row r="2">
      <c r="A2" s="2">
        <v>4111.0</v>
      </c>
      <c r="B2" s="1" t="s">
        <v>280</v>
      </c>
      <c r="D2" s="3">
        <v>4551.0</v>
      </c>
      <c r="E2" s="1" t="s">
        <v>4</v>
      </c>
      <c r="G2" s="9">
        <v>4011.0</v>
      </c>
      <c r="H2" s="1" t="s">
        <v>172</v>
      </c>
    </row>
    <row r="3">
      <c r="A3" s="5">
        <v>4112.0</v>
      </c>
      <c r="B3" s="1" t="s">
        <v>281</v>
      </c>
      <c r="D3" s="6">
        <v>4552.0</v>
      </c>
      <c r="E3" s="1" t="s">
        <v>7</v>
      </c>
      <c r="G3" s="49">
        <v>4012.0</v>
      </c>
      <c r="H3" s="1" t="s">
        <v>64</v>
      </c>
    </row>
    <row r="4">
      <c r="A4" s="7">
        <v>4113.0</v>
      </c>
      <c r="B4" s="1" t="s">
        <v>282</v>
      </c>
      <c r="D4" s="53">
        <v>4555.0</v>
      </c>
      <c r="E4" s="1" t="s">
        <v>283</v>
      </c>
      <c r="G4" s="65">
        <v>4013.0</v>
      </c>
      <c r="H4" s="1" t="s">
        <v>149</v>
      </c>
      <c r="M4" s="1" t="s">
        <v>4</v>
      </c>
      <c r="P4" s="1" t="s">
        <v>7</v>
      </c>
      <c r="Q4" s="1" t="s">
        <v>311</v>
      </c>
      <c r="R4" s="1" t="s">
        <v>283</v>
      </c>
      <c r="S4" s="1" t="s">
        <v>259</v>
      </c>
    </row>
    <row r="5">
      <c r="A5" s="8">
        <v>4114.0</v>
      </c>
      <c r="B5" s="1" t="s">
        <v>217</v>
      </c>
      <c r="D5" s="52">
        <v>4556.0</v>
      </c>
      <c r="E5" s="1" t="s">
        <v>259</v>
      </c>
      <c r="G5" s="4">
        <v>4016.0</v>
      </c>
      <c r="H5" s="1" t="s">
        <v>5</v>
      </c>
      <c r="M5" s="1">
        <v>512.0</v>
      </c>
      <c r="P5" s="1">
        <v>512.0</v>
      </c>
      <c r="Q5" s="1">
        <v>512.0</v>
      </c>
      <c r="R5" s="1">
        <v>512.0</v>
      </c>
      <c r="S5" s="1">
        <v>512.0</v>
      </c>
    </row>
    <row r="6">
      <c r="A6" s="9">
        <v>4115.0</v>
      </c>
      <c r="B6" s="1" t="s">
        <v>312</v>
      </c>
      <c r="D6" s="50">
        <v>4554.0</v>
      </c>
      <c r="E6" s="1" t="s">
        <v>284</v>
      </c>
      <c r="G6" s="2">
        <v>4017.0</v>
      </c>
      <c r="H6" s="1" t="s">
        <v>218</v>
      </c>
      <c r="L6" s="1" t="s">
        <v>23</v>
      </c>
      <c r="M6" s="15"/>
      <c r="N6" s="1" t="s">
        <v>24</v>
      </c>
      <c r="P6" s="1" t="s">
        <v>23</v>
      </c>
      <c r="Q6" s="1" t="s">
        <v>23</v>
      </c>
      <c r="R6" s="1" t="s">
        <v>23</v>
      </c>
      <c r="S6" s="1" t="s">
        <v>23</v>
      </c>
    </row>
    <row r="7">
      <c r="A7" s="4">
        <v>4116.0</v>
      </c>
      <c r="B7" s="1" t="s">
        <v>313</v>
      </c>
      <c r="D7" s="77">
        <v>4553.0</v>
      </c>
      <c r="E7" s="1" t="s">
        <v>311</v>
      </c>
      <c r="G7" s="54">
        <v>4018.0</v>
      </c>
      <c r="H7" s="1" t="s">
        <v>286</v>
      </c>
      <c r="L7" s="28">
        <f>G26</f>
        <v>30</v>
      </c>
      <c r="N7" s="28">
        <f>H31</f>
        <v>27.6</v>
      </c>
      <c r="P7" s="28">
        <f>H31</f>
        <v>27.6</v>
      </c>
      <c r="Q7" s="28">
        <f>H75</f>
        <v>240</v>
      </c>
      <c r="R7" s="28">
        <f>H139</f>
        <v>425</v>
      </c>
      <c r="S7" s="28">
        <f>H143</f>
        <v>425</v>
      </c>
    </row>
    <row r="8">
      <c r="A8" s="53">
        <v>4117.0</v>
      </c>
      <c r="B8" s="1" t="s">
        <v>314</v>
      </c>
      <c r="D8" s="66">
        <v>4557.0</v>
      </c>
      <c r="E8" s="1" t="s">
        <v>221</v>
      </c>
      <c r="G8" s="48"/>
      <c r="L8" s="28">
        <f>G42</f>
        <v>25</v>
      </c>
      <c r="N8" s="28">
        <f>H59</f>
        <v>6</v>
      </c>
    </row>
    <row r="9">
      <c r="A9" s="11">
        <v>4118.0</v>
      </c>
      <c r="B9" s="1" t="s">
        <v>315</v>
      </c>
      <c r="L9" s="28">
        <f>G50</f>
        <v>25</v>
      </c>
      <c r="N9" s="28">
        <f>H75</f>
        <v>240</v>
      </c>
    </row>
    <row r="10">
      <c r="A10" s="12">
        <v>4119.0</v>
      </c>
      <c r="B10" s="1" t="s">
        <v>18</v>
      </c>
      <c r="L10" s="28">
        <f>G70</f>
        <v>480</v>
      </c>
      <c r="N10" s="28">
        <f>H139</f>
        <v>425</v>
      </c>
    </row>
    <row r="11">
      <c r="A11" s="13">
        <v>41110.0</v>
      </c>
      <c r="B11" s="1" t="s">
        <v>316</v>
      </c>
      <c r="L11" s="28">
        <f>G86</f>
        <v>100</v>
      </c>
      <c r="N11" s="28">
        <f>H143</f>
        <v>425</v>
      </c>
    </row>
    <row r="12">
      <c r="A12" s="14">
        <v>41111.0</v>
      </c>
      <c r="B12" s="1" t="s">
        <v>260</v>
      </c>
      <c r="L12" s="28">
        <f>G90</f>
        <v>15</v>
      </c>
      <c r="N12" s="28">
        <f>H151</f>
        <v>25.8</v>
      </c>
    </row>
    <row r="13">
      <c r="L13" s="28">
        <f>G102</f>
        <v>32</v>
      </c>
      <c r="N13" s="28">
        <f>H183</f>
        <v>22.25</v>
      </c>
    </row>
    <row r="14">
      <c r="L14" s="28">
        <f>G114</f>
        <v>85</v>
      </c>
    </row>
    <row r="15">
      <c r="L15" s="28">
        <f>G122</f>
        <v>140</v>
      </c>
    </row>
    <row r="16">
      <c r="L16" s="28">
        <f>G126</f>
        <v>600</v>
      </c>
    </row>
    <row r="17">
      <c r="L17" s="28">
        <f>G134</f>
        <v>200</v>
      </c>
    </row>
    <row r="18">
      <c r="L18" s="28">
        <f>G162</f>
        <v>32.5</v>
      </c>
    </row>
    <row r="19">
      <c r="E19" s="55" t="s">
        <v>66</v>
      </c>
      <c r="L19" s="28">
        <f>G174</f>
        <v>98.72</v>
      </c>
    </row>
    <row r="20">
      <c r="E20" s="1" t="s">
        <v>317</v>
      </c>
    </row>
    <row r="21">
      <c r="D21" s="1"/>
      <c r="E21" s="22">
        <v>45935.0</v>
      </c>
    </row>
    <row r="22">
      <c r="C22" s="4">
        <v>4116.0</v>
      </c>
      <c r="E22" s="1" t="s">
        <v>318</v>
      </c>
      <c r="G22" s="1">
        <v>30.0</v>
      </c>
    </row>
    <row r="23">
      <c r="D23" s="1">
        <v>706.0</v>
      </c>
      <c r="E23" s="1" t="s">
        <v>27</v>
      </c>
      <c r="H23" s="1">
        <v>30.0</v>
      </c>
      <c r="L23" s="1" t="s">
        <v>69</v>
      </c>
      <c r="N23" s="1" t="s">
        <v>69</v>
      </c>
      <c r="P23" s="1" t="s">
        <v>69</v>
      </c>
      <c r="Q23" s="1" t="s">
        <v>69</v>
      </c>
      <c r="R23" s="1" t="s">
        <v>69</v>
      </c>
      <c r="S23" s="1" t="s">
        <v>69</v>
      </c>
    </row>
    <row r="24">
      <c r="D24" s="1" t="s">
        <v>308</v>
      </c>
      <c r="L24" s="28">
        <f>SUM(L7:L22)</f>
        <v>1863.22</v>
      </c>
      <c r="N24" s="28">
        <f>SUM(N7:N22)</f>
        <v>1171.65</v>
      </c>
      <c r="P24" s="28">
        <f t="shared" ref="P24:S24" si="1">P7</f>
        <v>27.6</v>
      </c>
      <c r="Q24" s="28">
        <f t="shared" si="1"/>
        <v>240</v>
      </c>
      <c r="R24" s="28">
        <f t="shared" si="1"/>
        <v>425</v>
      </c>
      <c r="S24" s="28">
        <f t="shared" si="1"/>
        <v>425</v>
      </c>
    </row>
    <row r="25">
      <c r="E25" s="22">
        <v>45935.0</v>
      </c>
    </row>
    <row r="26">
      <c r="C26" s="25">
        <v>512.0</v>
      </c>
      <c r="D26" s="24"/>
      <c r="E26" s="25" t="s">
        <v>29</v>
      </c>
      <c r="F26" s="24"/>
      <c r="G26" s="25">
        <v>30.0</v>
      </c>
      <c r="H26" s="24"/>
      <c r="M26" s="1" t="s">
        <v>69</v>
      </c>
    </row>
    <row r="27">
      <c r="D27" s="4">
        <v>4116.0</v>
      </c>
      <c r="E27" s="1" t="s">
        <v>318</v>
      </c>
      <c r="H27" s="1">
        <v>30.0</v>
      </c>
      <c r="M27" s="28">
        <f>L24-N24</f>
        <v>691.57</v>
      </c>
    </row>
    <row r="28">
      <c r="D28" s="1" t="s">
        <v>97</v>
      </c>
    </row>
    <row r="29">
      <c r="E29" s="22">
        <v>45935.0</v>
      </c>
    </row>
    <row r="30">
      <c r="C30" s="6">
        <v>4552.0</v>
      </c>
      <c r="E30" s="1" t="s">
        <v>43</v>
      </c>
      <c r="G30" s="1">
        <v>27.6</v>
      </c>
    </row>
    <row r="31">
      <c r="C31" s="30"/>
      <c r="D31" s="32">
        <v>512.0</v>
      </c>
      <c r="E31" s="32" t="s">
        <v>29</v>
      </c>
      <c r="F31" s="30"/>
      <c r="G31" s="30"/>
      <c r="H31" s="32">
        <v>27.6</v>
      </c>
    </row>
    <row r="32">
      <c r="D32" s="1" t="s">
        <v>319</v>
      </c>
    </row>
    <row r="33">
      <c r="D33" s="1"/>
      <c r="E33" s="22">
        <v>45936.0</v>
      </c>
      <c r="K33" s="1" t="s">
        <v>80</v>
      </c>
      <c r="L33" s="78">
        <v>0.15</v>
      </c>
      <c r="N33" s="1" t="s">
        <v>42</v>
      </c>
    </row>
    <row r="34">
      <c r="C34" s="4">
        <v>4196.0</v>
      </c>
      <c r="E34" s="1" t="s">
        <v>184</v>
      </c>
      <c r="G34" s="1">
        <v>25.0</v>
      </c>
      <c r="K34" s="1" t="s">
        <v>83</v>
      </c>
      <c r="L34" s="28">
        <f>30-H31</f>
        <v>2.4</v>
      </c>
      <c r="N34" s="28">
        <f>H59</f>
        <v>6</v>
      </c>
    </row>
    <row r="35">
      <c r="D35" s="1">
        <v>706.0</v>
      </c>
      <c r="E35" s="1" t="s">
        <v>27</v>
      </c>
      <c r="H35" s="1">
        <v>25.0</v>
      </c>
      <c r="L35" s="28">
        <f>1000-H139-H143</f>
        <v>150</v>
      </c>
      <c r="N35" s="28">
        <f>H151</f>
        <v>25.8</v>
      </c>
    </row>
    <row r="36">
      <c r="D36" s="1" t="s">
        <v>253</v>
      </c>
      <c r="E36" s="22"/>
      <c r="N36" s="28">
        <f>H183</f>
        <v>22.25</v>
      </c>
    </row>
    <row r="37">
      <c r="D37" s="1"/>
      <c r="E37" s="22">
        <v>45936.0</v>
      </c>
      <c r="K37" s="1" t="s">
        <v>69</v>
      </c>
      <c r="L37" s="28">
        <f>SUM(L34:L36)</f>
        <v>152.4</v>
      </c>
      <c r="N37" s="1" t="s">
        <v>69</v>
      </c>
    </row>
    <row r="38">
      <c r="C38" s="4">
        <v>4116.0</v>
      </c>
      <c r="E38" s="1" t="s">
        <v>318</v>
      </c>
      <c r="G38" s="1">
        <v>50.0</v>
      </c>
      <c r="N38" s="28">
        <f>SUM(N34:N36)</f>
        <v>54.05</v>
      </c>
    </row>
    <row r="39">
      <c r="D39" s="1">
        <v>706.0</v>
      </c>
      <c r="E39" s="1" t="s">
        <v>27</v>
      </c>
      <c r="H39" s="1">
        <v>50.0</v>
      </c>
    </row>
    <row r="40">
      <c r="D40" s="1" t="s">
        <v>320</v>
      </c>
    </row>
    <row r="41">
      <c r="E41" s="22">
        <v>45936.0</v>
      </c>
    </row>
    <row r="42">
      <c r="C42" s="25">
        <v>512.0</v>
      </c>
      <c r="D42" s="24"/>
      <c r="E42" s="25" t="s">
        <v>29</v>
      </c>
      <c r="F42" s="24"/>
      <c r="G42" s="25">
        <v>25.0</v>
      </c>
      <c r="H42" s="24"/>
    </row>
    <row r="43">
      <c r="D43" s="4">
        <v>4196.0</v>
      </c>
      <c r="E43" s="1" t="s">
        <v>184</v>
      </c>
      <c r="H43" s="1">
        <v>25.0</v>
      </c>
    </row>
    <row r="44">
      <c r="D44" s="1" t="s">
        <v>75</v>
      </c>
    </row>
    <row r="45">
      <c r="D45" s="1"/>
      <c r="E45" s="22">
        <v>45936.0</v>
      </c>
    </row>
    <row r="46">
      <c r="C46" s="4">
        <v>4196.0</v>
      </c>
      <c r="E46" s="1" t="s">
        <v>184</v>
      </c>
      <c r="G46" s="1">
        <v>25.0</v>
      </c>
    </row>
    <row r="47">
      <c r="D47" s="1">
        <v>706.0</v>
      </c>
      <c r="E47" s="1" t="s">
        <v>27</v>
      </c>
      <c r="H47" s="1">
        <v>25.0</v>
      </c>
    </row>
    <row r="48">
      <c r="D48" s="1" t="s">
        <v>253</v>
      </c>
      <c r="E48" s="22"/>
    </row>
    <row r="49">
      <c r="E49" s="22">
        <v>45936.0</v>
      </c>
    </row>
    <row r="50">
      <c r="C50" s="25">
        <v>512.0</v>
      </c>
      <c r="D50" s="24"/>
      <c r="E50" s="25" t="s">
        <v>29</v>
      </c>
      <c r="F50" s="24"/>
      <c r="G50" s="25">
        <v>25.0</v>
      </c>
      <c r="H50" s="24"/>
    </row>
    <row r="51">
      <c r="D51" s="4">
        <v>4196.0</v>
      </c>
      <c r="E51" s="1" t="s">
        <v>184</v>
      </c>
      <c r="H51" s="1">
        <v>25.0</v>
      </c>
    </row>
    <row r="52">
      <c r="D52" s="1" t="s">
        <v>75</v>
      </c>
    </row>
    <row r="53">
      <c r="E53" s="22">
        <v>45937.0</v>
      </c>
    </row>
    <row r="54">
      <c r="C54" s="1">
        <v>606.0</v>
      </c>
      <c r="E54" s="1" t="s">
        <v>27</v>
      </c>
      <c r="G54" s="1">
        <v>6.0</v>
      </c>
    </row>
    <row r="55">
      <c r="D55" s="9">
        <v>4015.0</v>
      </c>
      <c r="E55" s="1" t="s">
        <v>213</v>
      </c>
      <c r="H55" s="1">
        <v>6.0</v>
      </c>
    </row>
    <row r="56">
      <c r="D56" s="1" t="s">
        <v>214</v>
      </c>
    </row>
    <row r="57">
      <c r="E57" s="22">
        <v>45937.0</v>
      </c>
    </row>
    <row r="58">
      <c r="C58" s="9">
        <v>4015.0</v>
      </c>
      <c r="E58" s="1" t="s">
        <v>213</v>
      </c>
      <c r="G58" s="1">
        <v>6.0</v>
      </c>
    </row>
    <row r="59">
      <c r="C59" s="30"/>
      <c r="D59" s="32">
        <v>512.0</v>
      </c>
      <c r="E59" s="32" t="s">
        <v>29</v>
      </c>
      <c r="F59" s="30"/>
      <c r="G59" s="30"/>
      <c r="H59" s="32">
        <v>6.0</v>
      </c>
    </row>
    <row r="60">
      <c r="D60" s="1" t="s">
        <v>206</v>
      </c>
    </row>
    <row r="61">
      <c r="D61" s="1"/>
      <c r="E61" s="22">
        <v>45940.0</v>
      </c>
    </row>
    <row r="62">
      <c r="C62" s="8">
        <v>4194.0</v>
      </c>
      <c r="E62" s="1" t="s">
        <v>252</v>
      </c>
      <c r="G62" s="1">
        <v>480.0</v>
      </c>
    </row>
    <row r="63">
      <c r="D63" s="1">
        <v>706.0</v>
      </c>
      <c r="E63" s="1" t="s">
        <v>27</v>
      </c>
      <c r="H63" s="1">
        <v>480.0</v>
      </c>
    </row>
    <row r="64">
      <c r="D64" s="1" t="s">
        <v>253</v>
      </c>
      <c r="E64" s="22"/>
    </row>
    <row r="65">
      <c r="D65" s="1"/>
      <c r="E65" s="22">
        <v>45940.0</v>
      </c>
    </row>
    <row r="66">
      <c r="C66" s="8">
        <v>4114.0</v>
      </c>
      <c r="E66" s="1" t="s">
        <v>254</v>
      </c>
      <c r="G66" s="1">
        <v>1150.0</v>
      </c>
    </row>
    <row r="67">
      <c r="D67" s="1">
        <v>706.0</v>
      </c>
      <c r="E67" s="1" t="s">
        <v>27</v>
      </c>
      <c r="H67" s="1">
        <v>1150.0</v>
      </c>
    </row>
    <row r="68">
      <c r="D68" s="1" t="s">
        <v>321</v>
      </c>
    </row>
    <row r="69">
      <c r="E69" s="22">
        <v>45940.0</v>
      </c>
    </row>
    <row r="70">
      <c r="C70" s="25">
        <v>512.0</v>
      </c>
      <c r="D70" s="24"/>
      <c r="E70" s="25" t="s">
        <v>29</v>
      </c>
      <c r="F70" s="24"/>
      <c r="G70" s="25">
        <v>480.0</v>
      </c>
      <c r="H70" s="24"/>
    </row>
    <row r="71">
      <c r="D71" s="8">
        <v>4194.0</v>
      </c>
      <c r="E71" s="1" t="s">
        <v>252</v>
      </c>
      <c r="H71" s="1">
        <v>480.0</v>
      </c>
    </row>
    <row r="72">
      <c r="D72" s="1" t="s">
        <v>75</v>
      </c>
    </row>
    <row r="73">
      <c r="E73" s="22">
        <v>45940.0</v>
      </c>
    </row>
    <row r="74">
      <c r="C74" s="77">
        <v>4553.0</v>
      </c>
      <c r="E74" s="1" t="s">
        <v>322</v>
      </c>
      <c r="G74" s="1">
        <v>240.0</v>
      </c>
    </row>
    <row r="75">
      <c r="C75" s="30"/>
      <c r="D75" s="32">
        <v>512.0</v>
      </c>
      <c r="E75" s="32" t="s">
        <v>29</v>
      </c>
      <c r="F75" s="30"/>
      <c r="G75" s="30"/>
      <c r="H75" s="32">
        <v>240.0</v>
      </c>
    </row>
    <row r="76">
      <c r="D76" s="1" t="s">
        <v>323</v>
      </c>
    </row>
    <row r="77">
      <c r="D77" s="1"/>
      <c r="E77" s="22">
        <v>45943.0</v>
      </c>
    </row>
    <row r="78">
      <c r="C78" s="53">
        <v>4197.0</v>
      </c>
      <c r="E78" s="1" t="s">
        <v>324</v>
      </c>
      <c r="G78" s="1">
        <v>100.0</v>
      </c>
    </row>
    <row r="79">
      <c r="D79" s="1">
        <v>706.0</v>
      </c>
      <c r="E79" s="1" t="s">
        <v>27</v>
      </c>
      <c r="H79" s="1">
        <v>100.0</v>
      </c>
    </row>
    <row r="80">
      <c r="D80" s="1" t="s">
        <v>253</v>
      </c>
      <c r="E80" s="22"/>
    </row>
    <row r="81">
      <c r="D81" s="1"/>
      <c r="E81" s="22">
        <v>45943.0</v>
      </c>
    </row>
    <row r="82">
      <c r="C82" s="53">
        <v>4117.0</v>
      </c>
      <c r="E82" s="1" t="s">
        <v>325</v>
      </c>
      <c r="G82" s="1">
        <v>480.0</v>
      </c>
    </row>
    <row r="83">
      <c r="D83" s="1">
        <v>706.0</v>
      </c>
      <c r="E83" s="1" t="s">
        <v>27</v>
      </c>
      <c r="H83" s="1">
        <v>480.0</v>
      </c>
    </row>
    <row r="84">
      <c r="D84" s="1" t="s">
        <v>326</v>
      </c>
    </row>
    <row r="85">
      <c r="E85" s="22">
        <v>45943.0</v>
      </c>
    </row>
    <row r="86">
      <c r="C86" s="25">
        <v>512.0</v>
      </c>
      <c r="D86" s="24"/>
      <c r="E86" s="25" t="s">
        <v>29</v>
      </c>
      <c r="F86" s="24"/>
      <c r="G86" s="25">
        <v>100.0</v>
      </c>
      <c r="H86" s="24"/>
    </row>
    <row r="87">
      <c r="D87" s="53">
        <v>4197.0</v>
      </c>
      <c r="E87" s="1" t="s">
        <v>324</v>
      </c>
      <c r="H87" s="1">
        <v>100.0</v>
      </c>
    </row>
    <row r="88">
      <c r="D88" s="1" t="s">
        <v>75</v>
      </c>
    </row>
    <row r="89">
      <c r="E89" s="22">
        <v>45944.0</v>
      </c>
    </row>
    <row r="90">
      <c r="C90" s="25">
        <v>512.0</v>
      </c>
      <c r="D90" s="24"/>
      <c r="E90" s="25" t="s">
        <v>29</v>
      </c>
      <c r="F90" s="24"/>
      <c r="G90" s="25">
        <v>15.0</v>
      </c>
      <c r="H90" s="24"/>
    </row>
    <row r="91">
      <c r="D91" s="4">
        <v>4116.0</v>
      </c>
      <c r="E91" s="1" t="s">
        <v>318</v>
      </c>
      <c r="H91" s="1">
        <v>15.0</v>
      </c>
    </row>
    <row r="92">
      <c r="D92" s="1" t="s">
        <v>97</v>
      </c>
    </row>
    <row r="93">
      <c r="D93" s="1"/>
      <c r="E93" s="22">
        <v>45945.0</v>
      </c>
    </row>
    <row r="94">
      <c r="C94" s="12">
        <v>4199.0</v>
      </c>
      <c r="E94" s="1" t="s">
        <v>115</v>
      </c>
      <c r="G94" s="1">
        <v>32.0</v>
      </c>
    </row>
    <row r="95">
      <c r="D95" s="1">
        <v>706.0</v>
      </c>
      <c r="E95" s="1" t="s">
        <v>27</v>
      </c>
      <c r="H95" s="1">
        <v>32.0</v>
      </c>
    </row>
    <row r="96">
      <c r="D96" s="1" t="s">
        <v>253</v>
      </c>
      <c r="E96" s="22"/>
    </row>
    <row r="97">
      <c r="D97" s="1"/>
      <c r="E97" s="22">
        <v>45945.0</v>
      </c>
    </row>
    <row r="98">
      <c r="C98" s="12">
        <v>4119.0</v>
      </c>
      <c r="E98" s="1" t="s">
        <v>117</v>
      </c>
      <c r="G98" s="1">
        <v>64.0</v>
      </c>
    </row>
    <row r="99">
      <c r="D99" s="1">
        <v>706.0</v>
      </c>
      <c r="E99" s="1" t="s">
        <v>27</v>
      </c>
      <c r="H99" s="1">
        <v>64.0</v>
      </c>
    </row>
    <row r="100">
      <c r="D100" s="1" t="s">
        <v>327</v>
      </c>
    </row>
    <row r="101">
      <c r="E101" s="22">
        <v>45945.0</v>
      </c>
    </row>
    <row r="102">
      <c r="C102" s="25">
        <v>512.0</v>
      </c>
      <c r="D102" s="24"/>
      <c r="E102" s="25" t="s">
        <v>29</v>
      </c>
      <c r="F102" s="24"/>
      <c r="G102" s="25">
        <v>32.0</v>
      </c>
      <c r="H102" s="24"/>
    </row>
    <row r="103">
      <c r="D103" s="12">
        <v>4199.0</v>
      </c>
      <c r="E103" s="1" t="s">
        <v>115</v>
      </c>
      <c r="H103" s="1">
        <v>32.0</v>
      </c>
    </row>
    <row r="104">
      <c r="D104" s="1" t="s">
        <v>75</v>
      </c>
    </row>
    <row r="105">
      <c r="D105" s="1"/>
      <c r="E105" s="22">
        <v>45948.0</v>
      </c>
    </row>
    <row r="106">
      <c r="C106" s="11">
        <v>4198.0</v>
      </c>
      <c r="E106" s="1" t="s">
        <v>328</v>
      </c>
      <c r="G106" s="1">
        <v>85.0</v>
      </c>
    </row>
    <row r="107">
      <c r="D107" s="1">
        <v>706.0</v>
      </c>
      <c r="E107" s="1" t="s">
        <v>27</v>
      </c>
      <c r="H107" s="1">
        <v>85.0</v>
      </c>
    </row>
    <row r="108">
      <c r="D108" s="1" t="s">
        <v>253</v>
      </c>
      <c r="E108" s="22"/>
    </row>
    <row r="109">
      <c r="D109" s="1"/>
      <c r="E109" s="22">
        <v>45948.0</v>
      </c>
    </row>
    <row r="110">
      <c r="C110" s="11">
        <v>4118.0</v>
      </c>
      <c r="E110" s="1" t="s">
        <v>329</v>
      </c>
      <c r="G110" s="1">
        <v>170.0</v>
      </c>
    </row>
    <row r="111">
      <c r="D111" s="1">
        <v>706.0</v>
      </c>
      <c r="E111" s="1" t="s">
        <v>27</v>
      </c>
      <c r="H111" s="1">
        <v>170.0</v>
      </c>
    </row>
    <row r="112">
      <c r="D112" s="1" t="s">
        <v>330</v>
      </c>
    </row>
    <row r="113">
      <c r="E113" s="22">
        <v>45948.0</v>
      </c>
    </row>
    <row r="114">
      <c r="C114" s="25">
        <v>512.0</v>
      </c>
      <c r="D114" s="24"/>
      <c r="E114" s="25" t="s">
        <v>29</v>
      </c>
      <c r="F114" s="24"/>
      <c r="G114" s="25">
        <v>85.0</v>
      </c>
      <c r="H114" s="24"/>
    </row>
    <row r="115">
      <c r="D115" s="11">
        <v>4198.0</v>
      </c>
      <c r="E115" s="1" t="s">
        <v>328</v>
      </c>
      <c r="H115" s="1">
        <v>85.0</v>
      </c>
    </row>
    <row r="116">
      <c r="D116" s="1" t="s">
        <v>75</v>
      </c>
    </row>
    <row r="117">
      <c r="D117" s="1"/>
      <c r="E117" s="22">
        <v>45950.0</v>
      </c>
    </row>
    <row r="118">
      <c r="C118" s="14">
        <v>41911.0</v>
      </c>
      <c r="E118" s="1" t="s">
        <v>269</v>
      </c>
      <c r="G118" s="1">
        <v>140.0</v>
      </c>
    </row>
    <row r="119">
      <c r="D119" s="1">
        <v>706.0</v>
      </c>
      <c r="E119" s="1" t="s">
        <v>27</v>
      </c>
      <c r="H119" s="1">
        <v>140.0</v>
      </c>
    </row>
    <row r="120">
      <c r="D120" s="1" t="s">
        <v>253</v>
      </c>
      <c r="E120" s="22"/>
    </row>
    <row r="121">
      <c r="E121" s="22">
        <v>45950.0</v>
      </c>
    </row>
    <row r="122">
      <c r="C122" s="25">
        <v>512.0</v>
      </c>
      <c r="D122" s="24"/>
      <c r="E122" s="25" t="s">
        <v>29</v>
      </c>
      <c r="F122" s="24"/>
      <c r="G122" s="25">
        <v>140.0</v>
      </c>
      <c r="H122" s="24"/>
    </row>
    <row r="123">
      <c r="D123" s="14">
        <v>41911.0</v>
      </c>
      <c r="E123" s="1" t="s">
        <v>269</v>
      </c>
      <c r="H123" s="1">
        <v>140.0</v>
      </c>
    </row>
    <row r="124">
      <c r="D124" s="1" t="s">
        <v>75</v>
      </c>
    </row>
    <row r="125">
      <c r="E125" s="22">
        <v>45953.0</v>
      </c>
    </row>
    <row r="126">
      <c r="C126" s="25">
        <v>512.0</v>
      </c>
      <c r="D126" s="24"/>
      <c r="E126" s="25" t="s">
        <v>29</v>
      </c>
      <c r="F126" s="24"/>
      <c r="G126" s="25">
        <v>600.0</v>
      </c>
      <c r="H126" s="24"/>
    </row>
    <row r="127">
      <c r="D127" s="7">
        <v>4113.0</v>
      </c>
      <c r="E127" s="1" t="s">
        <v>302</v>
      </c>
      <c r="H127" s="1">
        <v>600.0</v>
      </c>
    </row>
    <row r="128">
      <c r="D128" s="1" t="s">
        <v>97</v>
      </c>
    </row>
    <row r="129">
      <c r="D129" s="1"/>
      <c r="E129" s="22">
        <v>45954.0</v>
      </c>
    </row>
    <row r="130">
      <c r="C130" s="53">
        <v>4197.0</v>
      </c>
      <c r="E130" s="1" t="s">
        <v>324</v>
      </c>
      <c r="G130" s="1">
        <v>200.0</v>
      </c>
    </row>
    <row r="131">
      <c r="D131" s="1">
        <v>706.0</v>
      </c>
      <c r="E131" s="1" t="s">
        <v>27</v>
      </c>
      <c r="H131" s="1">
        <v>200.0</v>
      </c>
    </row>
    <row r="132">
      <c r="D132" s="1" t="s">
        <v>253</v>
      </c>
      <c r="E132" s="22"/>
    </row>
    <row r="133">
      <c r="E133" s="22">
        <v>45954.0</v>
      </c>
    </row>
    <row r="134">
      <c r="C134" s="25">
        <v>512.0</v>
      </c>
      <c r="D134" s="24"/>
      <c r="E134" s="25" t="s">
        <v>29</v>
      </c>
      <c r="F134" s="24"/>
      <c r="G134" s="25">
        <v>200.0</v>
      </c>
      <c r="H134" s="24"/>
    </row>
    <row r="135">
      <c r="D135" s="53">
        <v>4197.0</v>
      </c>
      <c r="E135" s="1" t="s">
        <v>324</v>
      </c>
      <c r="H135" s="1">
        <v>200.0</v>
      </c>
    </row>
    <row r="136">
      <c r="D136" s="1" t="s">
        <v>75</v>
      </c>
    </row>
    <row r="137">
      <c r="E137" s="22">
        <v>45955.0</v>
      </c>
    </row>
    <row r="138">
      <c r="C138" s="53">
        <v>4555.0</v>
      </c>
      <c r="E138" s="1" t="s">
        <v>304</v>
      </c>
      <c r="G138" s="1">
        <v>425.0</v>
      </c>
    </row>
    <row r="139">
      <c r="C139" s="30"/>
      <c r="D139" s="32">
        <v>512.0</v>
      </c>
      <c r="E139" s="32" t="s">
        <v>29</v>
      </c>
      <c r="F139" s="30"/>
      <c r="G139" s="30"/>
      <c r="H139" s="32">
        <v>425.0</v>
      </c>
    </row>
    <row r="140">
      <c r="D140" s="1" t="s">
        <v>331</v>
      </c>
    </row>
    <row r="141">
      <c r="E141" s="22">
        <v>45955.0</v>
      </c>
    </row>
    <row r="142">
      <c r="C142" s="52">
        <v>4556.0</v>
      </c>
      <c r="E142" s="1" t="s">
        <v>275</v>
      </c>
      <c r="G142" s="1">
        <v>425.0</v>
      </c>
    </row>
    <row r="143">
      <c r="C143" s="30"/>
      <c r="D143" s="32">
        <v>512.0</v>
      </c>
      <c r="E143" s="32" t="s">
        <v>29</v>
      </c>
      <c r="F143" s="30"/>
      <c r="G143" s="30"/>
      <c r="H143" s="32">
        <v>425.0</v>
      </c>
    </row>
    <row r="144">
      <c r="D144" s="1" t="s">
        <v>332</v>
      </c>
    </row>
    <row r="145">
      <c r="E145" s="22">
        <v>45956.0</v>
      </c>
    </row>
    <row r="146">
      <c r="C146" s="1">
        <v>606.0</v>
      </c>
      <c r="E146" s="1" t="s">
        <v>27</v>
      </c>
      <c r="G146" s="1">
        <v>25.8</v>
      </c>
    </row>
    <row r="147">
      <c r="D147" s="65">
        <v>4013.0</v>
      </c>
      <c r="E147" s="1" t="s">
        <v>232</v>
      </c>
      <c r="H147" s="1">
        <v>25.8</v>
      </c>
    </row>
    <row r="148">
      <c r="D148" s="1" t="s">
        <v>333</v>
      </c>
    </row>
    <row r="149">
      <c r="E149" s="22">
        <v>45911.0</v>
      </c>
    </row>
    <row r="150">
      <c r="C150" s="65">
        <v>4013.0</v>
      </c>
      <c r="E150" s="1" t="s">
        <v>232</v>
      </c>
      <c r="G150" s="1">
        <v>25.8</v>
      </c>
    </row>
    <row r="151">
      <c r="C151" s="30"/>
      <c r="D151" s="32">
        <v>512.0</v>
      </c>
      <c r="E151" s="32" t="s">
        <v>29</v>
      </c>
      <c r="F151" s="30"/>
      <c r="G151" s="30"/>
      <c r="H151" s="32">
        <v>25.8</v>
      </c>
    </row>
    <row r="152">
      <c r="D152" s="1" t="s">
        <v>206</v>
      </c>
    </row>
    <row r="153">
      <c r="D153" s="1"/>
      <c r="E153" s="22">
        <v>45957.0</v>
      </c>
    </row>
    <row r="154">
      <c r="C154" s="13">
        <v>41910.0</v>
      </c>
      <c r="E154" s="1" t="s">
        <v>334</v>
      </c>
      <c r="G154" s="1">
        <v>32.5</v>
      </c>
    </row>
    <row r="155">
      <c r="D155" s="1">
        <v>706.0</v>
      </c>
      <c r="E155" s="1" t="s">
        <v>27</v>
      </c>
      <c r="H155" s="1">
        <v>32.5</v>
      </c>
    </row>
    <row r="156">
      <c r="D156" s="1" t="s">
        <v>253</v>
      </c>
      <c r="E156" s="22"/>
    </row>
    <row r="157">
      <c r="D157" s="1"/>
      <c r="E157" s="22">
        <v>45957.0</v>
      </c>
    </row>
    <row r="158">
      <c r="C158" s="13">
        <v>41110.0</v>
      </c>
      <c r="E158" s="1" t="s">
        <v>335</v>
      </c>
      <c r="G158" s="1">
        <v>65.0</v>
      </c>
    </row>
    <row r="159">
      <c r="D159" s="1">
        <v>706.0</v>
      </c>
      <c r="E159" s="1" t="s">
        <v>27</v>
      </c>
      <c r="H159" s="1">
        <v>65.0</v>
      </c>
    </row>
    <row r="160">
      <c r="D160" s="1" t="s">
        <v>336</v>
      </c>
    </row>
    <row r="161">
      <c r="E161" s="22">
        <v>45957.0</v>
      </c>
    </row>
    <row r="162">
      <c r="C162" s="25">
        <v>512.0</v>
      </c>
      <c r="D162" s="24"/>
      <c r="E162" s="25" t="s">
        <v>29</v>
      </c>
      <c r="F162" s="24"/>
      <c r="G162" s="25">
        <v>32.5</v>
      </c>
      <c r="H162" s="24"/>
    </row>
    <row r="163">
      <c r="D163" s="13">
        <v>41910.0</v>
      </c>
      <c r="E163" s="1" t="s">
        <v>334</v>
      </c>
      <c r="H163" s="1">
        <v>32.5</v>
      </c>
    </row>
    <row r="164">
      <c r="D164" s="1" t="s">
        <v>75</v>
      </c>
    </row>
    <row r="165">
      <c r="D165" s="1"/>
      <c r="E165" s="22">
        <v>45959.0</v>
      </c>
    </row>
    <row r="166">
      <c r="C166" s="9">
        <v>4195.0</v>
      </c>
      <c r="E166" s="1" t="s">
        <v>337</v>
      </c>
      <c r="G166" s="1">
        <v>98.72</v>
      </c>
    </row>
    <row r="167">
      <c r="D167" s="1">
        <v>706.0</v>
      </c>
      <c r="E167" s="1" t="s">
        <v>27</v>
      </c>
      <c r="H167" s="1">
        <v>98.72</v>
      </c>
    </row>
    <row r="168">
      <c r="D168" s="1" t="s">
        <v>253</v>
      </c>
      <c r="E168" s="22"/>
    </row>
    <row r="169">
      <c r="D169" s="1"/>
      <c r="E169" s="22">
        <v>45959.0</v>
      </c>
    </row>
    <row r="170">
      <c r="C170" s="9">
        <v>4115.0</v>
      </c>
      <c r="E170" s="1" t="s">
        <v>338</v>
      </c>
      <c r="G170" s="1">
        <v>200.0</v>
      </c>
    </row>
    <row r="171">
      <c r="D171" s="1">
        <v>706.0</v>
      </c>
      <c r="E171" s="1" t="s">
        <v>27</v>
      </c>
      <c r="H171" s="1">
        <v>200.0</v>
      </c>
    </row>
    <row r="172">
      <c r="D172" s="1" t="s">
        <v>339</v>
      </c>
    </row>
    <row r="173">
      <c r="E173" s="22">
        <v>45959.0</v>
      </c>
    </row>
    <row r="174">
      <c r="C174" s="25">
        <v>512.0</v>
      </c>
      <c r="D174" s="24"/>
      <c r="E174" s="25" t="s">
        <v>29</v>
      </c>
      <c r="F174" s="24"/>
      <c r="G174" s="25">
        <v>98.72</v>
      </c>
      <c r="H174" s="24"/>
    </row>
    <row r="175">
      <c r="D175" s="9">
        <v>4195.0</v>
      </c>
      <c r="E175" s="1" t="s">
        <v>337</v>
      </c>
      <c r="H175" s="1">
        <v>98.72</v>
      </c>
    </row>
    <row r="176">
      <c r="D176" s="1" t="s">
        <v>75</v>
      </c>
    </row>
    <row r="177">
      <c r="C177" s="36"/>
      <c r="D177" s="36"/>
      <c r="E177" s="56">
        <v>45960.0</v>
      </c>
      <c r="F177" s="36"/>
      <c r="G177" s="36"/>
      <c r="H177" s="36"/>
    </row>
    <row r="178">
      <c r="C178" s="43">
        <v>2051.0</v>
      </c>
      <c r="D178" s="36"/>
      <c r="E178" s="36" t="s">
        <v>68</v>
      </c>
      <c r="F178" s="36"/>
      <c r="G178" s="57">
        <v>22.25</v>
      </c>
      <c r="H178" s="36"/>
    </row>
    <row r="179">
      <c r="C179" s="36"/>
      <c r="D179" s="70">
        <v>4012.0</v>
      </c>
      <c r="E179" s="36" t="s">
        <v>119</v>
      </c>
      <c r="F179" s="36"/>
      <c r="G179" s="36"/>
      <c r="H179" s="57">
        <v>22.25</v>
      </c>
    </row>
    <row r="180">
      <c r="C180" s="36"/>
      <c r="D180" s="36" t="s">
        <v>120</v>
      </c>
      <c r="E180" s="36"/>
      <c r="F180" s="36"/>
      <c r="G180" s="36"/>
      <c r="H180" s="36"/>
    </row>
    <row r="181">
      <c r="C181" s="36"/>
      <c r="D181" s="36"/>
      <c r="E181" s="56">
        <v>45960.0</v>
      </c>
      <c r="F181" s="36"/>
      <c r="G181" s="36"/>
      <c r="H181" s="36"/>
    </row>
    <row r="182">
      <c r="C182" s="70">
        <v>4012.0</v>
      </c>
      <c r="D182" s="36"/>
      <c r="E182" s="36" t="s">
        <v>119</v>
      </c>
      <c r="F182" s="36"/>
      <c r="G182" s="57">
        <v>22.25</v>
      </c>
      <c r="H182" s="36"/>
    </row>
    <row r="183">
      <c r="C183" s="45"/>
      <c r="D183" s="47">
        <v>512.0</v>
      </c>
      <c r="E183" s="45" t="s">
        <v>29</v>
      </c>
      <c r="F183" s="45"/>
      <c r="G183" s="45"/>
      <c r="H183" s="60">
        <v>22.25</v>
      </c>
    </row>
    <row r="184">
      <c r="C184" s="36"/>
      <c r="D184" s="36" t="s">
        <v>121</v>
      </c>
      <c r="E184" s="36"/>
      <c r="F184" s="36"/>
      <c r="G184" s="36"/>
      <c r="H184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3.25"/>
    <col customWidth="1" min="19" max="19" width="14.25"/>
  </cols>
  <sheetData>
    <row r="1">
      <c r="A1" s="25" t="s">
        <v>4</v>
      </c>
      <c r="B1" s="25" t="s">
        <v>7</v>
      </c>
      <c r="C1" s="25" t="s">
        <v>259</v>
      </c>
      <c r="D1" s="25" t="s">
        <v>340</v>
      </c>
      <c r="E1" s="25" t="s">
        <v>284</v>
      </c>
      <c r="F1" s="25" t="s">
        <v>341</v>
      </c>
      <c r="G1" s="25" t="s">
        <v>342</v>
      </c>
      <c r="H1" s="25" t="s">
        <v>343</v>
      </c>
      <c r="I1" s="25" t="s">
        <v>311</v>
      </c>
      <c r="J1" s="80" t="s">
        <v>283</v>
      </c>
      <c r="K1" s="81" t="s">
        <v>13</v>
      </c>
      <c r="L1" s="81" t="s">
        <v>220</v>
      </c>
      <c r="M1" s="81" t="s">
        <v>15</v>
      </c>
      <c r="N1" s="81" t="s">
        <v>173</v>
      </c>
      <c r="O1" s="81" t="s">
        <v>9</v>
      </c>
      <c r="P1" s="81" t="s">
        <v>11</v>
      </c>
      <c r="Q1" s="81" t="s">
        <v>221</v>
      </c>
      <c r="R1" s="82" t="s">
        <v>344</v>
      </c>
      <c r="S1" s="83" t="s">
        <v>345</v>
      </c>
      <c r="T1" s="1" t="s">
        <v>42</v>
      </c>
    </row>
    <row r="2">
      <c r="A2" s="24">
        <f>Mars!U26+Avril!U20+Mai!K36+Juin!L39+Juillet!M33+'Août'!O27+Septembre!N22+Octobre!M27</f>
        <v>2903.95</v>
      </c>
      <c r="B2" s="24">
        <f>Mars!Q26+Avril!R20+Mai!N32+Juin!O37+Juillet!P31+'Août'!R27+Octobre!P24</f>
        <v>1251.19</v>
      </c>
      <c r="C2" s="24">
        <f>'Août'!V27+Septembre!R19+Octobre!S24</f>
        <v>569.5</v>
      </c>
      <c r="D2" s="24"/>
      <c r="E2" s="24">
        <f>Septembre!Q19</f>
        <v>42.5</v>
      </c>
      <c r="F2" s="24"/>
      <c r="G2" s="24"/>
      <c r="H2" s="24"/>
      <c r="I2" s="24">
        <f>Octobre!Q24</f>
        <v>240</v>
      </c>
      <c r="J2" s="84">
        <f>Septembre!S19+Octobre!R24</f>
        <v>461</v>
      </c>
      <c r="K2" s="81">
        <f>65.63+Mai!P32+Juin!Q37+Juillet!R31+'Août'!T27</f>
        <v>230.5</v>
      </c>
      <c r="L2" s="85">
        <f>Juillet!Q31+'Août'!S27</f>
        <v>197.5</v>
      </c>
      <c r="M2" s="85">
        <f>Avril!Y8</f>
        <v>20.26</v>
      </c>
      <c r="N2" s="85">
        <f>Juin!S37</f>
        <v>31.29</v>
      </c>
      <c r="O2" s="85">
        <f>Mai!Q32+Juin!R37</f>
        <v>316.5</v>
      </c>
      <c r="P2" s="85">
        <f>Avril!W18+Mai!O32+Juin!P37+Juillet!T31-65.63</f>
        <v>329.12</v>
      </c>
      <c r="Q2" s="85">
        <f>Juillet!S31+'Août'!U27</f>
        <v>316.99</v>
      </c>
      <c r="R2" s="86">
        <f>SUM(A2:Q2)</f>
        <v>6910.3</v>
      </c>
      <c r="S2" s="87">
        <f>Avril!R43+Mai!J53+Juin!K48+Juillet!M48+'Août'!N40+Septembre!M31+Octobre!L37</f>
        <v>467.13</v>
      </c>
      <c r="T2" s="28">
        <f>Avril!T45+Mai!L54+Juin!M49+Juillet!O53+'Août'!Q40+Septembre!O35+Octobre!N38</f>
        <v>627.22</v>
      </c>
    </row>
  </sheetData>
  <drawing r:id="rId1"/>
</worksheet>
</file>